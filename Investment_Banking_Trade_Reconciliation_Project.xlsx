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tcher\Downloads\"/>
    </mc:Choice>
  </mc:AlternateContent>
  <xr:revisionPtr revIDLastSave="0" documentId="13_ncr:1_{28F06E66-C020-429A-9362-125DB51799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rade Register" sheetId="1" r:id="rId1"/>
    <sheet name="Counterparty Trades" sheetId="2" r:id="rId2"/>
    <sheet name="Trade Matching" sheetId="3" r:id="rId3"/>
    <sheet name="Exception Report" sheetId="4" r:id="rId4"/>
    <sheet name="Dashboard" sheetId="5" r:id="rId5"/>
  </sheets>
  <definedNames>
    <definedName name="_xlnm._FilterDatabase" localSheetId="1" hidden="1">'Counterparty Trades'!$A$1:$J$21</definedName>
    <definedName name="_xlnm._FilterDatabase" localSheetId="3" hidden="1">'Exception Report'!$A$1:$E$6</definedName>
    <definedName name="_xlnm._FilterDatabase" localSheetId="2" hidden="1">'Trade Matching'!$A$1:$P$21</definedName>
    <definedName name="_xlnm._FilterDatabase" localSheetId="0" hidden="1">'Trade Register'!$A$1:$J$21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G10" i="3" s="1"/>
  <c r="D9" i="3"/>
  <c r="G9" i="3" s="1"/>
  <c r="B6" i="3"/>
  <c r="F6" i="3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/>
  <c r="J3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D3" i="3"/>
  <c r="D4" i="3"/>
  <c r="D5" i="3"/>
  <c r="D6" i="3"/>
  <c r="D7" i="3"/>
  <c r="D8" i="3"/>
  <c r="D11" i="3"/>
  <c r="D12" i="3"/>
  <c r="D13" i="3"/>
  <c r="D14" i="3"/>
  <c r="D15" i="3"/>
  <c r="D16" i="3"/>
  <c r="D17" i="3"/>
  <c r="D18" i="3"/>
  <c r="D19" i="3"/>
  <c r="D20" i="3"/>
  <c r="D2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" i="3"/>
  <c r="B3" i="3"/>
  <c r="B4" i="3"/>
  <c r="B5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P16" i="3" s="1"/>
  <c r="N17" i="3"/>
  <c r="P17" i="3" s="1"/>
  <c r="N18" i="3"/>
  <c r="N19" i="3"/>
  <c r="N20" i="3"/>
  <c r="N21" i="3"/>
  <c r="N2" i="3"/>
  <c r="B14" i="5"/>
  <c r="B13" i="5"/>
  <c r="B12" i="5"/>
  <c r="B11" i="5"/>
  <c r="B4" i="5"/>
  <c r="B8" i="4"/>
  <c r="P20" i="3"/>
  <c r="F11" i="3"/>
  <c r="F10" i="3"/>
  <c r="F9" i="3"/>
  <c r="G8" i="3"/>
  <c r="F8" i="3"/>
  <c r="G7" i="3"/>
  <c r="F7" i="3"/>
  <c r="P6" i="3"/>
  <c r="G6" i="3"/>
  <c r="P5" i="3"/>
  <c r="F5" i="3"/>
  <c r="P4" i="3"/>
  <c r="F4" i="3"/>
  <c r="P3" i="3"/>
  <c r="G3" i="3"/>
  <c r="F3" i="3"/>
  <c r="P2" i="3"/>
  <c r="F2" i="3"/>
  <c r="M2" i="3" l="1"/>
  <c r="F12" i="3"/>
  <c r="P18" i="3"/>
  <c r="P19" i="3"/>
  <c r="J4" i="3"/>
  <c r="J5" i="3"/>
  <c r="J6" i="3"/>
  <c r="J7" i="3"/>
  <c r="J8" i="3"/>
  <c r="J9" i="3"/>
  <c r="J10" i="3"/>
  <c r="J11" i="3"/>
  <c r="J15" i="3"/>
  <c r="J16" i="3"/>
  <c r="J17" i="3"/>
  <c r="J18" i="3"/>
  <c r="J19" i="3"/>
  <c r="J21" i="3"/>
  <c r="G11" i="3"/>
  <c r="G12" i="3"/>
  <c r="G13" i="3"/>
  <c r="G14" i="3"/>
  <c r="G16" i="3"/>
  <c r="G18" i="3"/>
  <c r="G21" i="3"/>
  <c r="J2" i="3"/>
  <c r="F13" i="3"/>
  <c r="F15" i="3"/>
  <c r="F16" i="3"/>
  <c r="F17" i="3"/>
  <c r="F18" i="3"/>
  <c r="F20" i="3"/>
  <c r="F21" i="3"/>
  <c r="G15" i="3"/>
  <c r="G5" i="3"/>
  <c r="J20" i="3"/>
  <c r="F14" i="3"/>
  <c r="B21" i="5"/>
  <c r="J13" i="3"/>
  <c r="G17" i="3"/>
  <c r="F19" i="3"/>
  <c r="G20" i="3"/>
  <c r="G2" i="3"/>
  <c r="J14" i="3"/>
  <c r="G4" i="3"/>
  <c r="P7" i="3"/>
  <c r="P8" i="3"/>
  <c r="P9" i="3"/>
  <c r="P10" i="3"/>
  <c r="P11" i="3"/>
  <c r="P12" i="3"/>
  <c r="P13" i="3"/>
  <c r="P14" i="3"/>
  <c r="P15" i="3"/>
  <c r="P21" i="3"/>
  <c r="G19" i="3"/>
  <c r="J12" i="3"/>
  <c r="B22" i="5"/>
  <c r="B20" i="5" l="1"/>
  <c r="B19" i="5"/>
  <c r="B5" i="5"/>
  <c r="B18" i="5"/>
  <c r="B6" i="5" l="1"/>
  <c r="B8" i="5"/>
</calcChain>
</file>

<file path=xl/sharedStrings.xml><?xml version="1.0" encoding="utf-8"?>
<sst xmlns="http://schemas.openxmlformats.org/spreadsheetml/2006/main" count="339" uniqueCount="98">
  <si>
    <t>Trade ID</t>
  </si>
  <si>
    <t>Client</t>
  </si>
  <si>
    <t>Security</t>
  </si>
  <si>
    <t>Asset Type</t>
  </si>
  <si>
    <t>Buy/Sell</t>
  </si>
  <si>
    <t>Quantity</t>
  </si>
  <si>
    <t>Price</t>
  </si>
  <si>
    <t>Trade Date</t>
  </si>
  <si>
    <t>Settlement Date</t>
  </si>
  <si>
    <t>Currency</t>
  </si>
  <si>
    <t>TR001</t>
  </si>
  <si>
    <t>Alpha Capital</t>
  </si>
  <si>
    <t>AAPL</t>
  </si>
  <si>
    <t>Equity</t>
  </si>
  <si>
    <t>Buy</t>
  </si>
  <si>
    <t>USD</t>
  </si>
  <si>
    <t>TR002</t>
  </si>
  <si>
    <t>Beta Investments</t>
  </si>
  <si>
    <t>MSFT</t>
  </si>
  <si>
    <t>Sell</t>
  </si>
  <si>
    <t>TR003</t>
  </si>
  <si>
    <t>Gamma Fund</t>
  </si>
  <si>
    <t>TSLA</t>
  </si>
  <si>
    <t>TR004</t>
  </si>
  <si>
    <t>Delta Asset Mgmt</t>
  </si>
  <si>
    <t>AMZN</t>
  </si>
  <si>
    <t>TR005</t>
  </si>
  <si>
    <t>GOOGL</t>
  </si>
  <si>
    <t>TR006</t>
  </si>
  <si>
    <t>JPM</t>
  </si>
  <si>
    <t>TR007</t>
  </si>
  <si>
    <t>RELIANCE</t>
  </si>
  <si>
    <t>INR</t>
  </si>
  <si>
    <t>TR008</t>
  </si>
  <si>
    <t>TCS</t>
  </si>
  <si>
    <t>TR009</t>
  </si>
  <si>
    <t>HDFCBANK</t>
  </si>
  <si>
    <t>TR010</t>
  </si>
  <si>
    <t>INFY</t>
  </si>
  <si>
    <t>TR011</t>
  </si>
  <si>
    <t>US10Y</t>
  </si>
  <si>
    <t>Bond</t>
  </si>
  <si>
    <t>TR012</t>
  </si>
  <si>
    <t>UK GILT</t>
  </si>
  <si>
    <t>GBP</t>
  </si>
  <si>
    <t>TR013</t>
  </si>
  <si>
    <t>EURUSD</t>
  </si>
  <si>
    <t>FX</t>
  </si>
  <si>
    <t>TR014</t>
  </si>
  <si>
    <t>USDINR</t>
  </si>
  <si>
    <t>TR015</t>
  </si>
  <si>
    <t>GOLD FUT</t>
  </si>
  <si>
    <t>Future</t>
  </si>
  <si>
    <t>TR016</t>
  </si>
  <si>
    <t>S&amp;P500 FUT</t>
  </si>
  <si>
    <t>TR017</t>
  </si>
  <si>
    <t>NVDA</t>
  </si>
  <si>
    <t>TR018</t>
  </si>
  <si>
    <t>META</t>
  </si>
  <si>
    <t>TR019</t>
  </si>
  <si>
    <t>ICICIBANK</t>
  </si>
  <si>
    <t>TR020</t>
  </si>
  <si>
    <t>HINDUNILVR</t>
  </si>
  <si>
    <t>Internal Quantity</t>
  </si>
  <si>
    <t>Counterparty Quantity</t>
  </si>
  <si>
    <t>Internal Price</t>
  </si>
  <si>
    <t>Counterparty Price</t>
  </si>
  <si>
    <t>Quantity Match</t>
  </si>
  <si>
    <t>Price Match</t>
  </si>
  <si>
    <t>Internal Trade Date</t>
  </si>
  <si>
    <t>Counterparty Trade Date</t>
  </si>
  <si>
    <t>Trade Date Match</t>
  </si>
  <si>
    <t>Internal Settlement Date</t>
  </si>
  <si>
    <t>Counterparty Settlement Date</t>
  </si>
  <si>
    <t>Settlement Date Match</t>
  </si>
  <si>
    <t>Internal Buy/Sell</t>
  </si>
  <si>
    <t>Counterparty Buy/Sell</t>
  </si>
  <si>
    <t>Buy/Sell Match</t>
  </si>
  <si>
    <t>Break Type</t>
  </si>
  <si>
    <t>Internal Value</t>
  </si>
  <si>
    <t>Counterparty Value</t>
  </si>
  <si>
    <t>Status</t>
  </si>
  <si>
    <t>Break</t>
  </si>
  <si>
    <t>Total Trade Breaks</t>
  </si>
  <si>
    <t>Investment Banking Trade Reconciliation Dashboard</t>
  </si>
  <si>
    <t>Metric</t>
  </si>
  <si>
    <t>Value</t>
  </si>
  <si>
    <t>Total Trades</t>
  </si>
  <si>
    <t>Matched Trades</t>
  </si>
  <si>
    <t>Trade Breaks</t>
  </si>
  <si>
    <t>Match Rate</t>
  </si>
  <si>
    <t>Trade Count</t>
  </si>
  <si>
    <t>Count</t>
  </si>
  <si>
    <t>Quantity Break</t>
  </si>
  <si>
    <t>Price Break</t>
  </si>
  <si>
    <t>Trade Date Break</t>
  </si>
  <si>
    <t>Settlement Date Break</t>
  </si>
  <si>
    <t>Buy/Sell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</si>
</sst>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/>
    <xf numFmtId="0" fontId="1" fillId="0" borderId="1" xfId="0" applyFont="1" applyBorder="1"/>
    <xf numFmtId="9" fontId="0" fillId="0" borderId="1" xfId="0" applyNumberFormat="1" applyBorder="1"/>
    <xf numFmtId="0" fontId="2" fillId="0" borderId="0" xfId="0" applyFont="1"/>
    <xf numFmtId="0" fontId="4" fillId="0" borderId="0" xfId="0" applyFont="1"/>
    <xf numFmtId="0" fontId="0" fillId="0" borderId="2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0" fillId="3" borderId="0" xfId="0" applyFont="1" applyFill="1"/>
    <xf numFmtId="0" fontId="5" fillId="3" borderId="5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  <xf numFmtId="0" fontId="5" fillId="3" borderId="6" xfId="0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9" xfId="0" applyBorder="1" applyAlignment="1">
      <alignment horizontal="right"/>
    </xf>
    <xf numFmtId="3" fontId="0" fillId="0" borderId="8" xfId="0" applyNumberFormat="1" applyBorder="1"/>
    <xf numFmtId="4" fontId="0" fillId="0" borderId="8" xfId="0" applyNumberFormat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0" xfId="0" applyFill="1"/>
    <xf numFmtId="0" fontId="1" fillId="3" borderId="5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1" fillId="3" borderId="4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5" fillId="3" borderId="5" xfId="1" applyNumberFormat="1" applyFont="1" applyFill="1" applyBorder="1" applyAlignment="1">
      <alignment horizontal="center"/>
    </xf>
    <xf numFmtId="1" fontId="0" fillId="0" borderId="1" xfId="1" applyNumberFormat="1" applyFont="1" applyBorder="1"/>
    <xf numFmtId="1" fontId="0" fillId="0" borderId="8" xfId="1" applyNumberFormat="1" applyFont="1" applyBorder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dd\-mm\-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dd\-mm\-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dd\-mm\-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dd\-mm\-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dd\-mm\-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dd\-mm\-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dd\-mm\-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dd\-mm\-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>
                    <a:lumMod val="95000"/>
                    <a:lumOff val="5000"/>
                  </a:schemeClr>
                </a:solidFill>
              </a:rPr>
              <a:t>Trade Break Summary</a:t>
            </a:r>
          </a:p>
        </c:rich>
      </c:tx>
      <c:layout>
        <c:manualLayout>
          <c:xMode val="edge"/>
          <c:yMode val="edge"/>
          <c:x val="0.37668511904761903"/>
          <c:y val="4.850694444444444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58730158730162E-2"/>
          <c:y val="6.6045066045066048E-2"/>
          <c:w val="0.90582301587301584"/>
          <c:h val="0.6812026993129354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E5-43EE-9F63-683361F2CA3D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E5-43EE-9F63-683361F2CA3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E5-43EE-9F63-683361F2CA3D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E5-43EE-9F63-683361F2CA3D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E5-43EE-9F63-683361F2CA3D}"/>
              </c:ext>
            </c:extLst>
          </c:dPt>
          <c:cat>
            <c:strRef>
              <c:f>Dashboard!$A$18:$A$22</c:f>
              <c:strCache>
                <c:ptCount val="5"/>
                <c:pt idx="0">
                  <c:v>Quantity Break</c:v>
                </c:pt>
                <c:pt idx="1">
                  <c:v>Price Break</c:v>
                </c:pt>
                <c:pt idx="2">
                  <c:v>Trade Date Break</c:v>
                </c:pt>
                <c:pt idx="3">
                  <c:v>Settlement Date Break</c:v>
                </c:pt>
                <c:pt idx="4">
                  <c:v>Buy/Sell Break</c:v>
                </c:pt>
              </c:strCache>
            </c:strRef>
          </c:cat>
          <c:val>
            <c:numRef>
              <c:f>Dashboard!$B$18:$B$22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9-4080-B87B-7C83B0A5C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Break Type</a:t>
                </a:r>
              </a:p>
            </c:rich>
          </c:tx>
          <c:layout>
            <c:manualLayout>
              <c:xMode val="edge"/>
              <c:yMode val="edge"/>
              <c:x val="0.45478670634920637"/>
              <c:y val="0.865286793419115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Count</a:t>
                </a:r>
              </a:p>
            </c:rich>
          </c:tx>
          <c:layout>
            <c:manualLayout>
              <c:xMode val="edge"/>
              <c:yMode val="edge"/>
              <c:x val="5.7956349206349206E-2"/>
              <c:y val="0.3234911337302349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480158730158734E-2"/>
          <c:y val="0.93140195890147881"/>
          <c:w val="0.9"/>
          <c:h val="6.55598994181671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8</xdr:row>
      <xdr:rowOff>15240</xdr:rowOff>
    </xdr:from>
    <xdr:ext cx="5040000" cy="32689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E77280-BF88-47B6-AC10-561CBFDB62EE}" name="Table2" displayName="Table2" ref="A1:J21" totalsRowShown="0" headerRowDxfId="28" headerRowBorderDxfId="36" tableBorderDxfId="37" totalsRowBorderDxfId="35">
  <autoFilter ref="A1:J21" xr:uid="{00000000-0009-0000-0000-000000000000}"/>
  <tableColumns count="10">
    <tableColumn id="1" xr3:uid="{0F328FD8-24C3-4227-9351-41951173389C}" name="Trade ID" dataDxfId="34"/>
    <tableColumn id="2" xr3:uid="{D1554A3D-E67C-47FF-A96C-B0239BDDB7B6}" name="Client" dataDxfId="33"/>
    <tableColumn id="3" xr3:uid="{7DB0D668-6616-49F6-BC75-050673D9D2AD}" name="Security" dataDxfId="27"/>
    <tableColumn id="4" xr3:uid="{817ECE54-E15C-4240-A3EF-D20C67C40059}" name="Asset Type" dataDxfId="26"/>
    <tableColumn id="5" xr3:uid="{0084AD2A-80F9-4578-8AB5-3EF4659D2ECF}" name="Buy/Sell" dataDxfId="25"/>
    <tableColumn id="6" xr3:uid="{5F53B680-B78C-465F-847A-78C3099026C5}" name="Quantity" dataDxfId="32"/>
    <tableColumn id="7" xr3:uid="{85DC051B-699E-4289-A3CF-3F98ECC0A7E1}" name="Price" dataDxfId="31"/>
    <tableColumn id="8" xr3:uid="{425BF5B3-C58D-4CA1-99C9-082FBBB3B498}" name="Trade Date" dataDxfId="30"/>
    <tableColumn id="9" xr3:uid="{620AF63E-CEDE-4256-9DDA-C09F070A5A90}" name="Settlement Date" dataDxfId="29"/>
    <tableColumn id="10" xr3:uid="{B070A20F-9795-4449-9C08-E55625D95960}" name="Currency" dataDxfId="2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0E07A0-5090-4AB6-A885-AB0FB7EC1197}" name="Table3" displayName="Table3" ref="A1:J21" totalsRowShown="0" headerRowDxfId="14" headerRowBorderDxfId="22" tableBorderDxfId="23" totalsRowBorderDxfId="21">
  <autoFilter ref="A1:J21" xr:uid="{00000000-0009-0000-0000-000001000000}"/>
  <tableColumns count="10">
    <tableColumn id="1" xr3:uid="{7D96FA46-892B-4F6D-9A2D-28E30822EEDF}" name="Trade ID" dataDxfId="20"/>
    <tableColumn id="2" xr3:uid="{DF1C37A5-2E4F-48AC-94DC-8493C71E79F1}" name="Client" dataDxfId="19"/>
    <tableColumn id="3" xr3:uid="{3D649A62-0C79-4FE2-9F93-296E06241345}" name="Security" dataDxfId="11"/>
    <tableColumn id="4" xr3:uid="{EDFC7AF2-206C-4E7D-A68C-EA449D586AAA}" name="Asset Type" dataDxfId="12"/>
    <tableColumn id="5" xr3:uid="{B47B28BB-B767-4D88-8A98-D9F05E3959AF}" name="Buy/Sell" dataDxfId="13"/>
    <tableColumn id="6" xr3:uid="{C36E8D02-8987-46F4-88C2-34211699E4AA}" name="Quantity" dataDxfId="18"/>
    <tableColumn id="7" xr3:uid="{FAC088CD-065C-4F05-B80A-4B78DFA1C015}" name="Price" dataDxfId="17"/>
    <tableColumn id="8" xr3:uid="{A2CCCB19-BE13-4FF9-92C4-D7D60CAA5B4E}" name="Trade Date" dataDxfId="16"/>
    <tableColumn id="9" xr3:uid="{0BEC9A28-4D90-4985-A792-4391D05F2F5D}" name="Settlement Date" dataDxfId="15"/>
    <tableColumn id="10" xr3:uid="{533E8925-28B2-4D94-ABA2-73793E9972A4}" name="Currency" dataDxfId="10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1E526-F46B-4138-BDD7-91BDE4361F20}" name="Table1" displayName="Table1" ref="A1:P21" totalsRowShown="0" headerRowDxfId="45" headerRowBorderDxfId="55" tableBorderDxfId="56" totalsRowBorderDxfId="54">
  <autoFilter ref="A1:P21" xr:uid="{00000000-0009-0000-0000-000002000000}"/>
  <tableColumns count="16">
    <tableColumn id="1" xr3:uid="{37AD94C2-F463-4FA9-BEFA-118591FD10C2}" name="Trade ID" dataDxfId="53"/>
    <tableColumn id="2" xr3:uid="{D291EE36-9C7E-4FF9-9AB8-F4E2C6FD2C23}" name="Internal Quantity" dataDxfId="0" dataCellStyle="Currency">
      <calculatedColumnFormula>_xlfn.XLOOKUP(A2,'Trade Register'!A:A,'Trade Register'!F:F,"Not Found")</calculatedColumnFormula>
    </tableColumn>
    <tableColumn id="3" xr3:uid="{FC6D3381-7B5E-43A3-B39D-88C416ECD3BC}" name="Counterparty Quantity" dataDxfId="52">
      <calculatedColumnFormula>_xlfn.XLOOKUP(A2,'Counterparty Trades'!A:A,'Counterparty Trades'!F:F,"Not Found")</calculatedColumnFormula>
    </tableColumn>
    <tableColumn id="4" xr3:uid="{8C96F961-BF74-48A6-944C-7D275E5DD26D}" name="Internal Price" dataDxfId="51">
      <calculatedColumnFormula>_xlfn.XLOOKUP(A2,'Trade Register'!A:A,'Trade Register'!G:G,"Not Found")</calculatedColumnFormula>
    </tableColumn>
    <tableColumn id="5" xr3:uid="{F99B4B22-9344-426B-A7D9-E9A9276ABFC8}" name="Counterparty Price" dataDxfId="50">
      <calculatedColumnFormula>_xlfn.XLOOKUP(A2,'Counterparty Trades'!A:A,'Counterparty Trades'!G:G,"Not Found")</calculatedColumnFormula>
    </tableColumn>
    <tableColumn id="6" xr3:uid="{54304B47-28F3-4A10-B699-BB237255BA79}" name="Quantity Match" dataDxfId="39">
      <calculatedColumnFormula>IF(B2=C2,"Match","Break")</calculatedColumnFormula>
    </tableColumn>
    <tableColumn id="7" xr3:uid="{D1666DF0-F96D-42E9-AC14-E465CAA9B7F2}" name="Price Match" dataDxfId="38">
      <calculatedColumnFormula>IF(D2=E2,"Match","Break")</calculatedColumnFormula>
    </tableColumn>
    <tableColumn id="8" xr3:uid="{EBE473BA-EDAB-4E8A-904F-262A1CDB2413}" name="Internal Trade Date" dataDxfId="49">
      <calculatedColumnFormula>_xlfn.XLOOKUP(A2,'Trade Register'!A:A,'Trade Register'!H:H,"Not Found")</calculatedColumnFormula>
    </tableColumn>
    <tableColumn id="9" xr3:uid="{1EEBE0D7-CD86-407B-9F81-A495FBDC30D2}" name="Counterparty Trade Date" dataDxfId="48">
      <calculatedColumnFormula>_xlfn.XLOOKUP(A2,'Counterparty Trades'!A:A,'Counterparty Trades'!H:H,"Not Found")</calculatedColumnFormula>
    </tableColumn>
    <tableColumn id="10" xr3:uid="{6A2AE1BE-39AA-4F98-9EE6-1E72E42E27D8}" name="Trade Date Match" dataDxfId="44">
      <calculatedColumnFormula>IF(H2=I2,"Match","Break")</calculatedColumnFormula>
    </tableColumn>
    <tableColumn id="11" xr3:uid="{4A3E9C21-C580-4211-B77C-34623E60E5F7}" name="Internal Settlement Date" dataDxfId="47">
      <calculatedColumnFormula>_xlfn.XLOOKUP(A2,'Trade Register'!A:A,'Trade Register'!I:I,"Not Found")</calculatedColumnFormula>
    </tableColumn>
    <tableColumn id="12" xr3:uid="{FD1FB54D-CBC3-4285-89CA-0F8BC3BFFC49}" name="Counterparty Settlement Date" dataDxfId="46">
      <calculatedColumnFormula>_xlfn.XLOOKUP(A2,'Counterparty Trades'!A:A,'Counterparty Trades'!I:I,"Not Found")</calculatedColumnFormula>
    </tableColumn>
    <tableColumn id="13" xr3:uid="{804646C1-F763-4986-9A1A-4F723AB8ADD2}" name="Settlement Date Match" dataDxfId="43">
      <calculatedColumnFormula>IF(K2=L2,"Match","Break")</calculatedColumnFormula>
    </tableColumn>
    <tableColumn id="14" xr3:uid="{EAD4041B-2783-4796-8647-347830BFA3EC}" name="Internal Buy/Sell" dataDxfId="42">
      <calculatedColumnFormula>_xlfn.XLOOKUP(A2,'Trade Register'!A:A,'Trade Register'!E:E,"Not Found")</calculatedColumnFormula>
    </tableColumn>
    <tableColumn id="15" xr3:uid="{348FE141-3A3F-4A4D-9BF0-C689E0D67BF8}" name="Counterparty Buy/Sell" dataDxfId="41">
      <calculatedColumnFormula>_xlfn.XLOOKUP(A2,'Counterparty Trades'!A:A,'Counterparty Trades'!E:E,"Not Found")</calculatedColumnFormula>
    </tableColumn>
    <tableColumn id="16" xr3:uid="{78496C8E-B34B-4B8C-8CF1-0BEC37E00A97}" name="Buy/Sell Match" dataDxfId="40">
      <calculatedColumnFormula>IF(N2=O2,"Match","Break")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2A1A1A-3132-46C1-A4C0-59FB4F6849BF}" name="Table4" displayName="Table4" ref="A1:E6" totalsRowShown="0" headerRowDxfId="5" headerRowBorderDxfId="8" tableBorderDxfId="9" totalsRowBorderDxfId="7">
  <autoFilter ref="A1:E6" xr:uid="{00000000-0009-0000-0000-000003000000}"/>
  <tableColumns count="5">
    <tableColumn id="1" xr3:uid="{8EDD7686-BC21-40F8-B2F2-508B799FD0C1}" name="Trade ID" dataDxfId="6"/>
    <tableColumn id="2" xr3:uid="{E8953657-4BA9-4C29-AA84-A271B61625B9}" name="Break Type" dataDxfId="1"/>
    <tableColumn id="3" xr3:uid="{4F02C3CB-C96A-4F99-AB94-600C6327B515}" name="Internal Value" dataDxfId="4"/>
    <tableColumn id="4" xr3:uid="{D9F25FA7-80A0-4212-A58A-0FF988F6EA87}" name="Counterparty Value" dataDxfId="3"/>
    <tableColumn id="5" xr3:uid="{3E26CD53-1628-4E08-93A0-2AC5E3DE5268}" name="Statu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pane ySplit="1" topLeftCell="A2" activePane="bottomLeft" state="frozen"/>
      <selection pane="bottomLeft" activeCell="J15" sqref="J15"/>
    </sheetView>
  </sheetViews>
  <sheetFormatPr defaultRowHeight="14.4" x14ac:dyDescent="0.3"/>
  <cols>
    <col min="1" max="1" width="12" customWidth="1"/>
    <col min="2" max="2" width="20" customWidth="1"/>
    <col min="3" max="3" width="15" style="20" customWidth="1"/>
    <col min="4" max="4" width="14" style="20" customWidth="1"/>
    <col min="5" max="5" width="12" style="20" customWidth="1"/>
    <col min="6" max="7" width="12" customWidth="1"/>
    <col min="8" max="8" width="15" customWidth="1"/>
    <col min="9" max="9" width="18" customWidth="1"/>
    <col min="10" max="10" width="12" style="20" customWidth="1"/>
  </cols>
  <sheetData>
    <row r="1" spans="1:10" s="29" customFormat="1" x14ac:dyDescent="0.3">
      <c r="A1" s="26" t="s">
        <v>0</v>
      </c>
      <c r="B1" s="27" t="s">
        <v>1</v>
      </c>
      <c r="C1" s="30" t="s">
        <v>2</v>
      </c>
      <c r="D1" s="30" t="s">
        <v>3</v>
      </c>
      <c r="E1" s="30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31" t="s">
        <v>9</v>
      </c>
    </row>
    <row r="2" spans="1:10" x14ac:dyDescent="0.3">
      <c r="A2" s="10" t="s">
        <v>10</v>
      </c>
      <c r="B2" s="1" t="s">
        <v>11</v>
      </c>
      <c r="C2" s="18" t="s">
        <v>12</v>
      </c>
      <c r="D2" s="18" t="s">
        <v>13</v>
      </c>
      <c r="E2" s="18" t="s">
        <v>14</v>
      </c>
      <c r="F2" s="2">
        <v>500</v>
      </c>
      <c r="G2" s="3">
        <v>225</v>
      </c>
      <c r="H2" s="4">
        <v>46266</v>
      </c>
      <c r="I2" s="4">
        <v>46268</v>
      </c>
      <c r="J2" s="22" t="s">
        <v>15</v>
      </c>
    </row>
    <row r="3" spans="1:10" x14ac:dyDescent="0.3">
      <c r="A3" s="10" t="s">
        <v>16</v>
      </c>
      <c r="B3" s="1" t="s">
        <v>17</v>
      </c>
      <c r="C3" s="18" t="s">
        <v>18</v>
      </c>
      <c r="D3" s="18" t="s">
        <v>13</v>
      </c>
      <c r="E3" s="18" t="s">
        <v>19</v>
      </c>
      <c r="F3" s="2">
        <v>300</v>
      </c>
      <c r="G3" s="3">
        <v>505</v>
      </c>
      <c r="H3" s="4">
        <v>46266</v>
      </c>
      <c r="I3" s="4">
        <v>46268</v>
      </c>
      <c r="J3" s="22" t="s">
        <v>15</v>
      </c>
    </row>
    <row r="4" spans="1:10" x14ac:dyDescent="0.3">
      <c r="A4" s="10" t="s">
        <v>20</v>
      </c>
      <c r="B4" s="1" t="s">
        <v>21</v>
      </c>
      <c r="C4" s="18" t="s">
        <v>22</v>
      </c>
      <c r="D4" s="18" t="s">
        <v>13</v>
      </c>
      <c r="E4" s="18" t="s">
        <v>14</v>
      </c>
      <c r="F4" s="2">
        <v>400</v>
      </c>
      <c r="G4" s="3">
        <v>345</v>
      </c>
      <c r="H4" s="4">
        <v>46266</v>
      </c>
      <c r="I4" s="4">
        <v>46268</v>
      </c>
      <c r="J4" s="22" t="s">
        <v>15</v>
      </c>
    </row>
    <row r="5" spans="1:10" x14ac:dyDescent="0.3">
      <c r="A5" s="10" t="s">
        <v>23</v>
      </c>
      <c r="B5" s="1" t="s">
        <v>24</v>
      </c>
      <c r="C5" s="18" t="s">
        <v>25</v>
      </c>
      <c r="D5" s="18" t="s">
        <v>13</v>
      </c>
      <c r="E5" s="18" t="s">
        <v>14</v>
      </c>
      <c r="F5" s="2">
        <v>250</v>
      </c>
      <c r="G5" s="3">
        <v>235</v>
      </c>
      <c r="H5" s="4">
        <v>46267</v>
      </c>
      <c r="I5" s="4">
        <v>46269</v>
      </c>
      <c r="J5" s="22" t="s">
        <v>15</v>
      </c>
    </row>
    <row r="6" spans="1:10" x14ac:dyDescent="0.3">
      <c r="A6" s="10" t="s">
        <v>26</v>
      </c>
      <c r="B6" s="1" t="s">
        <v>11</v>
      </c>
      <c r="C6" s="18" t="s">
        <v>27</v>
      </c>
      <c r="D6" s="18" t="s">
        <v>13</v>
      </c>
      <c r="E6" s="18" t="s">
        <v>19</v>
      </c>
      <c r="F6" s="2">
        <v>350</v>
      </c>
      <c r="G6" s="3">
        <v>210</v>
      </c>
      <c r="H6" s="4">
        <v>46267</v>
      </c>
      <c r="I6" s="4">
        <v>46269</v>
      </c>
      <c r="J6" s="22" t="s">
        <v>15</v>
      </c>
    </row>
    <row r="7" spans="1:10" x14ac:dyDescent="0.3">
      <c r="A7" s="10" t="s">
        <v>28</v>
      </c>
      <c r="B7" s="1" t="s">
        <v>17</v>
      </c>
      <c r="C7" s="18" t="s">
        <v>29</v>
      </c>
      <c r="D7" s="18" t="s">
        <v>13</v>
      </c>
      <c r="E7" s="18" t="s">
        <v>14</v>
      </c>
      <c r="F7" s="2">
        <v>600</v>
      </c>
      <c r="G7" s="3">
        <v>295</v>
      </c>
      <c r="H7" s="4">
        <v>46267</v>
      </c>
      <c r="I7" s="4">
        <v>46269</v>
      </c>
      <c r="J7" s="22" t="s">
        <v>15</v>
      </c>
    </row>
    <row r="8" spans="1:10" x14ac:dyDescent="0.3">
      <c r="A8" s="10" t="s">
        <v>30</v>
      </c>
      <c r="B8" s="1" t="s">
        <v>21</v>
      </c>
      <c r="C8" s="18" t="s">
        <v>31</v>
      </c>
      <c r="D8" s="18" t="s">
        <v>13</v>
      </c>
      <c r="E8" s="18" t="s">
        <v>14</v>
      </c>
      <c r="F8" s="2">
        <v>800</v>
      </c>
      <c r="G8" s="3">
        <v>1410</v>
      </c>
      <c r="H8" s="4">
        <v>46268</v>
      </c>
      <c r="I8" s="4">
        <v>46272</v>
      </c>
      <c r="J8" s="22" t="s">
        <v>32</v>
      </c>
    </row>
    <row r="9" spans="1:10" x14ac:dyDescent="0.3">
      <c r="A9" s="10" t="s">
        <v>33</v>
      </c>
      <c r="B9" s="1" t="s">
        <v>24</v>
      </c>
      <c r="C9" s="18" t="s">
        <v>34</v>
      </c>
      <c r="D9" s="18" t="s">
        <v>13</v>
      </c>
      <c r="E9" s="18" t="s">
        <v>19</v>
      </c>
      <c r="F9" s="2">
        <v>500</v>
      </c>
      <c r="G9" s="3">
        <v>3020</v>
      </c>
      <c r="H9" s="4">
        <v>46268</v>
      </c>
      <c r="I9" s="4">
        <v>46272</v>
      </c>
      <c r="J9" s="22" t="s">
        <v>32</v>
      </c>
    </row>
    <row r="10" spans="1:10" x14ac:dyDescent="0.3">
      <c r="A10" s="10" t="s">
        <v>35</v>
      </c>
      <c r="B10" s="1" t="s">
        <v>11</v>
      </c>
      <c r="C10" s="18" t="s">
        <v>36</v>
      </c>
      <c r="D10" s="18" t="s">
        <v>13</v>
      </c>
      <c r="E10" s="18" t="s">
        <v>14</v>
      </c>
      <c r="F10" s="2">
        <v>700</v>
      </c>
      <c r="G10" s="3">
        <v>1980</v>
      </c>
      <c r="H10" s="4">
        <v>46268</v>
      </c>
      <c r="I10" s="4">
        <v>46272</v>
      </c>
      <c r="J10" s="22" t="s">
        <v>32</v>
      </c>
    </row>
    <row r="11" spans="1:10" x14ac:dyDescent="0.3">
      <c r="A11" s="10" t="s">
        <v>37</v>
      </c>
      <c r="B11" s="1" t="s">
        <v>17</v>
      </c>
      <c r="C11" s="18" t="s">
        <v>38</v>
      </c>
      <c r="D11" s="18" t="s">
        <v>13</v>
      </c>
      <c r="E11" s="18" t="s">
        <v>19</v>
      </c>
      <c r="F11" s="2">
        <v>900</v>
      </c>
      <c r="G11" s="3">
        <v>1520</v>
      </c>
      <c r="H11" s="4">
        <v>46269</v>
      </c>
      <c r="I11" s="4">
        <v>46273</v>
      </c>
      <c r="J11" s="22" t="s">
        <v>32</v>
      </c>
    </row>
    <row r="12" spans="1:10" x14ac:dyDescent="0.3">
      <c r="A12" s="10" t="s">
        <v>39</v>
      </c>
      <c r="B12" s="1" t="s">
        <v>21</v>
      </c>
      <c r="C12" s="18" t="s">
        <v>40</v>
      </c>
      <c r="D12" s="18" t="s">
        <v>41</v>
      </c>
      <c r="E12" s="18" t="s">
        <v>14</v>
      </c>
      <c r="F12" s="2">
        <v>100</v>
      </c>
      <c r="G12" s="3">
        <v>98.5</v>
      </c>
      <c r="H12" s="4">
        <v>46269</v>
      </c>
      <c r="I12" s="4">
        <v>46273</v>
      </c>
      <c r="J12" s="22" t="s">
        <v>15</v>
      </c>
    </row>
    <row r="13" spans="1:10" x14ac:dyDescent="0.3">
      <c r="A13" s="10" t="s">
        <v>42</v>
      </c>
      <c r="B13" s="1" t="s">
        <v>24</v>
      </c>
      <c r="C13" s="18" t="s">
        <v>43</v>
      </c>
      <c r="D13" s="18" t="s">
        <v>41</v>
      </c>
      <c r="E13" s="18" t="s">
        <v>19</v>
      </c>
      <c r="F13" s="2">
        <v>150</v>
      </c>
      <c r="G13" s="3">
        <v>101.25</v>
      </c>
      <c r="H13" s="4">
        <v>46269</v>
      </c>
      <c r="I13" s="4">
        <v>46273</v>
      </c>
      <c r="J13" s="22" t="s">
        <v>44</v>
      </c>
    </row>
    <row r="14" spans="1:10" x14ac:dyDescent="0.3">
      <c r="A14" s="10" t="s">
        <v>45</v>
      </c>
      <c r="B14" s="1" t="s">
        <v>11</v>
      </c>
      <c r="C14" s="18" t="s">
        <v>46</v>
      </c>
      <c r="D14" s="18" t="s">
        <v>47</v>
      </c>
      <c r="E14" s="18" t="s">
        <v>14</v>
      </c>
      <c r="F14" s="2">
        <v>100000</v>
      </c>
      <c r="G14" s="3">
        <v>1.17</v>
      </c>
      <c r="H14" s="4">
        <v>46270</v>
      </c>
      <c r="I14" s="4">
        <v>46272</v>
      </c>
      <c r="J14" s="22" t="s">
        <v>15</v>
      </c>
    </row>
    <row r="15" spans="1:10" x14ac:dyDescent="0.3">
      <c r="A15" s="10" t="s">
        <v>48</v>
      </c>
      <c r="B15" s="1" t="s">
        <v>17</v>
      </c>
      <c r="C15" s="18" t="s">
        <v>49</v>
      </c>
      <c r="D15" s="18" t="s">
        <v>47</v>
      </c>
      <c r="E15" s="18" t="s">
        <v>19</v>
      </c>
      <c r="F15" s="2">
        <v>200000</v>
      </c>
      <c r="G15" s="3">
        <v>88.2</v>
      </c>
      <c r="H15" s="4">
        <v>46270</v>
      </c>
      <c r="I15" s="4">
        <v>46272</v>
      </c>
      <c r="J15" s="22" t="s">
        <v>32</v>
      </c>
    </row>
    <row r="16" spans="1:10" x14ac:dyDescent="0.3">
      <c r="A16" s="10" t="s">
        <v>50</v>
      </c>
      <c r="B16" s="1" t="s">
        <v>21</v>
      </c>
      <c r="C16" s="18" t="s">
        <v>51</v>
      </c>
      <c r="D16" s="18" t="s">
        <v>52</v>
      </c>
      <c r="E16" s="18" t="s">
        <v>14</v>
      </c>
      <c r="F16" s="2">
        <v>50</v>
      </c>
      <c r="G16" s="3">
        <v>3550</v>
      </c>
      <c r="H16" s="4">
        <v>46270</v>
      </c>
      <c r="I16" s="4">
        <v>46272</v>
      </c>
      <c r="J16" s="22" t="s">
        <v>15</v>
      </c>
    </row>
    <row r="17" spans="1:10" x14ac:dyDescent="0.3">
      <c r="A17" s="10" t="s">
        <v>53</v>
      </c>
      <c r="B17" s="1" t="s">
        <v>24</v>
      </c>
      <c r="C17" s="18" t="s">
        <v>54</v>
      </c>
      <c r="D17" s="18" t="s">
        <v>52</v>
      </c>
      <c r="E17" s="18" t="s">
        <v>19</v>
      </c>
      <c r="F17" s="2">
        <v>40</v>
      </c>
      <c r="G17" s="3">
        <v>6500</v>
      </c>
      <c r="H17" s="4">
        <v>46271</v>
      </c>
      <c r="I17" s="4">
        <v>46273</v>
      </c>
      <c r="J17" s="22" t="s">
        <v>15</v>
      </c>
    </row>
    <row r="18" spans="1:10" x14ac:dyDescent="0.3">
      <c r="A18" s="10" t="s">
        <v>55</v>
      </c>
      <c r="B18" s="1" t="s">
        <v>11</v>
      </c>
      <c r="C18" s="18" t="s">
        <v>56</v>
      </c>
      <c r="D18" s="18" t="s">
        <v>13</v>
      </c>
      <c r="E18" s="18" t="s">
        <v>14</v>
      </c>
      <c r="F18" s="2">
        <v>450</v>
      </c>
      <c r="G18" s="3">
        <v>175</v>
      </c>
      <c r="H18" s="4">
        <v>46271</v>
      </c>
      <c r="I18" s="4">
        <v>46273</v>
      </c>
      <c r="J18" s="22" t="s">
        <v>15</v>
      </c>
    </row>
    <row r="19" spans="1:10" x14ac:dyDescent="0.3">
      <c r="A19" s="10" t="s">
        <v>57</v>
      </c>
      <c r="B19" s="1" t="s">
        <v>17</v>
      </c>
      <c r="C19" s="18" t="s">
        <v>58</v>
      </c>
      <c r="D19" s="18" t="s">
        <v>13</v>
      </c>
      <c r="E19" s="18" t="s">
        <v>19</v>
      </c>
      <c r="F19" s="2">
        <v>275</v>
      </c>
      <c r="G19" s="3">
        <v>750</v>
      </c>
      <c r="H19" s="4">
        <v>46271</v>
      </c>
      <c r="I19" s="4">
        <v>46273</v>
      </c>
      <c r="J19" s="22" t="s">
        <v>15</v>
      </c>
    </row>
    <row r="20" spans="1:10" x14ac:dyDescent="0.3">
      <c r="A20" s="10" t="s">
        <v>59</v>
      </c>
      <c r="B20" s="1" t="s">
        <v>21</v>
      </c>
      <c r="C20" s="18" t="s">
        <v>60</v>
      </c>
      <c r="D20" s="18" t="s">
        <v>13</v>
      </c>
      <c r="E20" s="18" t="s">
        <v>14</v>
      </c>
      <c r="F20" s="2">
        <v>650</v>
      </c>
      <c r="G20" s="3">
        <v>1420</v>
      </c>
      <c r="H20" s="4">
        <v>46271</v>
      </c>
      <c r="I20" s="4">
        <v>46273</v>
      </c>
      <c r="J20" s="22" t="s">
        <v>32</v>
      </c>
    </row>
    <row r="21" spans="1:10" x14ac:dyDescent="0.3">
      <c r="A21" s="11" t="s">
        <v>61</v>
      </c>
      <c r="B21" s="12" t="s">
        <v>24</v>
      </c>
      <c r="C21" s="19" t="s">
        <v>62</v>
      </c>
      <c r="D21" s="19" t="s">
        <v>13</v>
      </c>
      <c r="E21" s="19" t="s">
        <v>19</v>
      </c>
      <c r="F21" s="24">
        <v>400</v>
      </c>
      <c r="G21" s="25">
        <v>2450</v>
      </c>
      <c r="H21" s="13">
        <v>46271</v>
      </c>
      <c r="I21" s="13">
        <v>46273</v>
      </c>
      <c r="J21" s="23" t="s">
        <v>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pane ySplit="1" topLeftCell="A2" activePane="bottomLeft" state="frozen"/>
      <selection pane="bottomLeft" activeCell="K17" sqref="K17"/>
    </sheetView>
  </sheetViews>
  <sheetFormatPr defaultRowHeight="14.4" x14ac:dyDescent="0.3"/>
  <cols>
    <col min="1" max="1" width="12" customWidth="1"/>
    <col min="2" max="2" width="20" customWidth="1"/>
    <col min="3" max="3" width="15" style="20" customWidth="1"/>
    <col min="4" max="4" width="14" style="20" customWidth="1"/>
    <col min="5" max="5" width="12" style="20" customWidth="1"/>
    <col min="6" max="7" width="12" customWidth="1"/>
    <col min="8" max="8" width="15" customWidth="1"/>
    <col min="9" max="9" width="18" customWidth="1"/>
    <col min="10" max="10" width="12" style="20" customWidth="1"/>
  </cols>
  <sheetData>
    <row r="1" spans="1:10" s="29" customFormat="1" x14ac:dyDescent="0.3">
      <c r="A1" s="26" t="s">
        <v>0</v>
      </c>
      <c r="B1" s="27" t="s">
        <v>1</v>
      </c>
      <c r="C1" s="30" t="s">
        <v>2</v>
      </c>
      <c r="D1" s="30" t="s">
        <v>3</v>
      </c>
      <c r="E1" s="30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31" t="s">
        <v>9</v>
      </c>
    </row>
    <row r="2" spans="1:10" x14ac:dyDescent="0.3">
      <c r="A2" s="10" t="s">
        <v>10</v>
      </c>
      <c r="B2" s="1" t="s">
        <v>11</v>
      </c>
      <c r="C2" s="18" t="s">
        <v>12</v>
      </c>
      <c r="D2" s="18" t="s">
        <v>13</v>
      </c>
      <c r="E2" s="18" t="s">
        <v>14</v>
      </c>
      <c r="F2" s="2">
        <v>500</v>
      </c>
      <c r="G2" s="3">
        <v>225</v>
      </c>
      <c r="H2" s="4">
        <v>46266</v>
      </c>
      <c r="I2" s="4">
        <v>46268</v>
      </c>
      <c r="J2" s="22" t="s">
        <v>15</v>
      </c>
    </row>
    <row r="3" spans="1:10" x14ac:dyDescent="0.3">
      <c r="A3" s="10" t="s">
        <v>16</v>
      </c>
      <c r="B3" s="1" t="s">
        <v>17</v>
      </c>
      <c r="C3" s="18" t="s">
        <v>18</v>
      </c>
      <c r="D3" s="18" t="s">
        <v>13</v>
      </c>
      <c r="E3" s="18" t="s">
        <v>19</v>
      </c>
      <c r="F3" s="2">
        <v>300</v>
      </c>
      <c r="G3" s="3">
        <v>505</v>
      </c>
      <c r="H3" s="4">
        <v>46266</v>
      </c>
      <c r="I3" s="4">
        <v>46268</v>
      </c>
      <c r="J3" s="22" t="s">
        <v>15</v>
      </c>
    </row>
    <row r="4" spans="1:10" x14ac:dyDescent="0.3">
      <c r="A4" s="10" t="s">
        <v>20</v>
      </c>
      <c r="B4" s="1" t="s">
        <v>21</v>
      </c>
      <c r="C4" s="18" t="s">
        <v>22</v>
      </c>
      <c r="D4" s="18" t="s">
        <v>13</v>
      </c>
      <c r="E4" s="18" t="s">
        <v>14</v>
      </c>
      <c r="F4" s="2">
        <v>400</v>
      </c>
      <c r="G4" s="3">
        <v>345</v>
      </c>
      <c r="H4" s="4">
        <v>46266</v>
      </c>
      <c r="I4" s="4">
        <v>46268</v>
      </c>
      <c r="J4" s="22" t="s">
        <v>15</v>
      </c>
    </row>
    <row r="5" spans="1:10" x14ac:dyDescent="0.3">
      <c r="A5" s="10" t="s">
        <v>23</v>
      </c>
      <c r="B5" s="1" t="s">
        <v>24</v>
      </c>
      <c r="C5" s="18" t="s">
        <v>25</v>
      </c>
      <c r="D5" s="18" t="s">
        <v>13</v>
      </c>
      <c r="E5" s="18" t="s">
        <v>14</v>
      </c>
      <c r="F5" s="2">
        <v>250</v>
      </c>
      <c r="G5" s="3">
        <v>235</v>
      </c>
      <c r="H5" s="4">
        <v>46267</v>
      </c>
      <c r="I5" s="4">
        <v>46269</v>
      </c>
      <c r="J5" s="22" t="s">
        <v>15</v>
      </c>
    </row>
    <row r="6" spans="1:10" x14ac:dyDescent="0.3">
      <c r="A6" s="10" t="s">
        <v>26</v>
      </c>
      <c r="B6" s="1" t="s">
        <v>11</v>
      </c>
      <c r="C6" s="18" t="s">
        <v>27</v>
      </c>
      <c r="D6" s="18" t="s">
        <v>13</v>
      </c>
      <c r="E6" s="18" t="s">
        <v>19</v>
      </c>
      <c r="F6" s="2">
        <v>350</v>
      </c>
      <c r="G6" s="3">
        <v>211</v>
      </c>
      <c r="H6" s="4">
        <v>46267</v>
      </c>
      <c r="I6" s="4">
        <v>46269</v>
      </c>
      <c r="J6" s="22" t="s">
        <v>15</v>
      </c>
    </row>
    <row r="7" spans="1:10" x14ac:dyDescent="0.3">
      <c r="A7" s="10" t="s">
        <v>28</v>
      </c>
      <c r="B7" s="1" t="s">
        <v>17</v>
      </c>
      <c r="C7" s="18" t="s">
        <v>29</v>
      </c>
      <c r="D7" s="18" t="s">
        <v>13</v>
      </c>
      <c r="E7" s="18" t="s">
        <v>14</v>
      </c>
      <c r="F7" s="2">
        <v>650</v>
      </c>
      <c r="G7" s="3">
        <v>295</v>
      </c>
      <c r="H7" s="4">
        <v>46267</v>
      </c>
      <c r="I7" s="4">
        <v>46269</v>
      </c>
      <c r="J7" s="22" t="s">
        <v>15</v>
      </c>
    </row>
    <row r="8" spans="1:10" x14ac:dyDescent="0.3">
      <c r="A8" s="10" t="s">
        <v>30</v>
      </c>
      <c r="B8" s="1" t="s">
        <v>21</v>
      </c>
      <c r="C8" s="18" t="s">
        <v>31</v>
      </c>
      <c r="D8" s="18" t="s">
        <v>13</v>
      </c>
      <c r="E8" s="18" t="s">
        <v>14</v>
      </c>
      <c r="F8" s="2">
        <v>800</v>
      </c>
      <c r="G8" s="3">
        <v>1410</v>
      </c>
      <c r="H8" s="4">
        <v>46268</v>
      </c>
      <c r="I8" s="4">
        <v>46272</v>
      </c>
      <c r="J8" s="22" t="s">
        <v>32</v>
      </c>
    </row>
    <row r="9" spans="1:10" x14ac:dyDescent="0.3">
      <c r="A9" s="10" t="s">
        <v>33</v>
      </c>
      <c r="B9" s="1" t="s">
        <v>24</v>
      </c>
      <c r="C9" s="18" t="s">
        <v>34</v>
      </c>
      <c r="D9" s="18" t="s">
        <v>13</v>
      </c>
      <c r="E9" s="18" t="s">
        <v>19</v>
      </c>
      <c r="F9" s="2">
        <v>500</v>
      </c>
      <c r="G9" s="3">
        <v>3020</v>
      </c>
      <c r="H9" s="4">
        <v>46269</v>
      </c>
      <c r="I9" s="4">
        <v>46272</v>
      </c>
      <c r="J9" s="22" t="s">
        <v>32</v>
      </c>
    </row>
    <row r="10" spans="1:10" x14ac:dyDescent="0.3">
      <c r="A10" s="10" t="s">
        <v>35</v>
      </c>
      <c r="B10" s="1" t="s">
        <v>11</v>
      </c>
      <c r="C10" s="18" t="s">
        <v>36</v>
      </c>
      <c r="D10" s="18" t="s">
        <v>13</v>
      </c>
      <c r="E10" s="18" t="s">
        <v>14</v>
      </c>
      <c r="F10" s="2">
        <v>700</v>
      </c>
      <c r="G10" s="3">
        <v>1980</v>
      </c>
      <c r="H10" s="4">
        <v>46268</v>
      </c>
      <c r="I10" s="4">
        <v>46273</v>
      </c>
      <c r="J10" s="22" t="s">
        <v>32</v>
      </c>
    </row>
    <row r="11" spans="1:10" x14ac:dyDescent="0.3">
      <c r="A11" s="10" t="s">
        <v>37</v>
      </c>
      <c r="B11" s="1" t="s">
        <v>17</v>
      </c>
      <c r="C11" s="18" t="s">
        <v>38</v>
      </c>
      <c r="D11" s="18" t="s">
        <v>13</v>
      </c>
      <c r="E11" s="18" t="s">
        <v>14</v>
      </c>
      <c r="F11" s="2">
        <v>900</v>
      </c>
      <c r="G11" s="3">
        <v>1520</v>
      </c>
      <c r="H11" s="4">
        <v>46269</v>
      </c>
      <c r="I11" s="4">
        <v>46273</v>
      </c>
      <c r="J11" s="22" t="s">
        <v>32</v>
      </c>
    </row>
    <row r="12" spans="1:10" x14ac:dyDescent="0.3">
      <c r="A12" s="10" t="s">
        <v>39</v>
      </c>
      <c r="B12" s="1" t="s">
        <v>21</v>
      </c>
      <c r="C12" s="18" t="s">
        <v>40</v>
      </c>
      <c r="D12" s="18" t="s">
        <v>41</v>
      </c>
      <c r="E12" s="18" t="s">
        <v>14</v>
      </c>
      <c r="F12" s="2">
        <v>100</v>
      </c>
      <c r="G12" s="3">
        <v>98.5</v>
      </c>
      <c r="H12" s="4">
        <v>46269</v>
      </c>
      <c r="I12" s="4">
        <v>46273</v>
      </c>
      <c r="J12" s="22" t="s">
        <v>15</v>
      </c>
    </row>
    <row r="13" spans="1:10" x14ac:dyDescent="0.3">
      <c r="A13" s="10" t="s">
        <v>42</v>
      </c>
      <c r="B13" s="1" t="s">
        <v>24</v>
      </c>
      <c r="C13" s="18" t="s">
        <v>43</v>
      </c>
      <c r="D13" s="18" t="s">
        <v>41</v>
      </c>
      <c r="E13" s="18" t="s">
        <v>19</v>
      </c>
      <c r="F13" s="2">
        <v>150</v>
      </c>
      <c r="G13" s="3">
        <v>101.25</v>
      </c>
      <c r="H13" s="4">
        <v>46269</v>
      </c>
      <c r="I13" s="4">
        <v>46273</v>
      </c>
      <c r="J13" s="22" t="s">
        <v>44</v>
      </c>
    </row>
    <row r="14" spans="1:10" x14ac:dyDescent="0.3">
      <c r="A14" s="10" t="s">
        <v>45</v>
      </c>
      <c r="B14" s="1" t="s">
        <v>11</v>
      </c>
      <c r="C14" s="18" t="s">
        <v>46</v>
      </c>
      <c r="D14" s="18" t="s">
        <v>47</v>
      </c>
      <c r="E14" s="18" t="s">
        <v>14</v>
      </c>
      <c r="F14" s="2">
        <v>100000</v>
      </c>
      <c r="G14" s="3">
        <v>1.17</v>
      </c>
      <c r="H14" s="4">
        <v>46270</v>
      </c>
      <c r="I14" s="4">
        <v>46272</v>
      </c>
      <c r="J14" s="22" t="s">
        <v>15</v>
      </c>
    </row>
    <row r="15" spans="1:10" x14ac:dyDescent="0.3">
      <c r="A15" s="10" t="s">
        <v>48</v>
      </c>
      <c r="B15" s="1" t="s">
        <v>17</v>
      </c>
      <c r="C15" s="18" t="s">
        <v>49</v>
      </c>
      <c r="D15" s="18" t="s">
        <v>47</v>
      </c>
      <c r="E15" s="18" t="s">
        <v>19</v>
      </c>
      <c r="F15" s="2">
        <v>200000</v>
      </c>
      <c r="G15" s="3">
        <v>88.2</v>
      </c>
      <c r="H15" s="4">
        <v>46270</v>
      </c>
      <c r="I15" s="4">
        <v>46272</v>
      </c>
      <c r="J15" s="22" t="s">
        <v>32</v>
      </c>
    </row>
    <row r="16" spans="1:10" x14ac:dyDescent="0.3">
      <c r="A16" s="10" t="s">
        <v>50</v>
      </c>
      <c r="B16" s="1" t="s">
        <v>21</v>
      </c>
      <c r="C16" s="18" t="s">
        <v>51</v>
      </c>
      <c r="D16" s="18" t="s">
        <v>52</v>
      </c>
      <c r="E16" s="18" t="s">
        <v>14</v>
      </c>
      <c r="F16" s="2">
        <v>50</v>
      </c>
      <c r="G16" s="3">
        <v>3550</v>
      </c>
      <c r="H16" s="4">
        <v>46270</v>
      </c>
      <c r="I16" s="4">
        <v>46272</v>
      </c>
      <c r="J16" s="22" t="s">
        <v>15</v>
      </c>
    </row>
    <row r="17" spans="1:10" x14ac:dyDescent="0.3">
      <c r="A17" s="10" t="s">
        <v>53</v>
      </c>
      <c r="B17" s="1" t="s">
        <v>24</v>
      </c>
      <c r="C17" s="18" t="s">
        <v>54</v>
      </c>
      <c r="D17" s="18" t="s">
        <v>52</v>
      </c>
      <c r="E17" s="18" t="s">
        <v>19</v>
      </c>
      <c r="F17" s="2">
        <v>40</v>
      </c>
      <c r="G17" s="3">
        <v>6500</v>
      </c>
      <c r="H17" s="4">
        <v>46271</v>
      </c>
      <c r="I17" s="4">
        <v>46273</v>
      </c>
      <c r="J17" s="22" t="s">
        <v>15</v>
      </c>
    </row>
    <row r="18" spans="1:10" x14ac:dyDescent="0.3">
      <c r="A18" s="10" t="s">
        <v>55</v>
      </c>
      <c r="B18" s="1" t="s">
        <v>11</v>
      </c>
      <c r="C18" s="18" t="s">
        <v>56</v>
      </c>
      <c r="D18" s="18" t="s">
        <v>13</v>
      </c>
      <c r="E18" s="18" t="s">
        <v>14</v>
      </c>
      <c r="F18" s="2">
        <v>450</v>
      </c>
      <c r="G18" s="3">
        <v>175</v>
      </c>
      <c r="H18" s="4">
        <v>46271</v>
      </c>
      <c r="I18" s="4">
        <v>46273</v>
      </c>
      <c r="J18" s="22" t="s">
        <v>15</v>
      </c>
    </row>
    <row r="19" spans="1:10" x14ac:dyDescent="0.3">
      <c r="A19" s="10" t="s">
        <v>57</v>
      </c>
      <c r="B19" s="1" t="s">
        <v>17</v>
      </c>
      <c r="C19" s="18" t="s">
        <v>58</v>
      </c>
      <c r="D19" s="18" t="s">
        <v>13</v>
      </c>
      <c r="E19" s="18" t="s">
        <v>19</v>
      </c>
      <c r="F19" s="2">
        <v>275</v>
      </c>
      <c r="G19" s="3">
        <v>750</v>
      </c>
      <c r="H19" s="4">
        <v>46271</v>
      </c>
      <c r="I19" s="4">
        <v>46273</v>
      </c>
      <c r="J19" s="22" t="s">
        <v>15</v>
      </c>
    </row>
    <row r="20" spans="1:10" x14ac:dyDescent="0.3">
      <c r="A20" s="10" t="s">
        <v>59</v>
      </c>
      <c r="B20" s="1" t="s">
        <v>21</v>
      </c>
      <c r="C20" s="18" t="s">
        <v>60</v>
      </c>
      <c r="D20" s="18" t="s">
        <v>13</v>
      </c>
      <c r="E20" s="18" t="s">
        <v>14</v>
      </c>
      <c r="F20" s="2">
        <v>650</v>
      </c>
      <c r="G20" s="3">
        <v>1420</v>
      </c>
      <c r="H20" s="4">
        <v>46271</v>
      </c>
      <c r="I20" s="4">
        <v>46273</v>
      </c>
      <c r="J20" s="22" t="s">
        <v>32</v>
      </c>
    </row>
    <row r="21" spans="1:10" x14ac:dyDescent="0.3">
      <c r="A21" s="11" t="s">
        <v>61</v>
      </c>
      <c r="B21" s="12" t="s">
        <v>24</v>
      </c>
      <c r="C21" s="19" t="s">
        <v>62</v>
      </c>
      <c r="D21" s="19" t="s">
        <v>13</v>
      </c>
      <c r="E21" s="19" t="s">
        <v>19</v>
      </c>
      <c r="F21" s="24">
        <v>400</v>
      </c>
      <c r="G21" s="25">
        <v>2450</v>
      </c>
      <c r="H21" s="13">
        <v>46271</v>
      </c>
      <c r="I21" s="13">
        <v>46273</v>
      </c>
      <c r="J21" s="23" t="s">
        <v>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tabSelected="1" workbookViewId="0">
      <pane ySplit="1" topLeftCell="A2" activePane="bottomLeft" state="frozen"/>
      <selection pane="bottomLeft" activeCell="G11" sqref="A11:XFD11"/>
    </sheetView>
  </sheetViews>
  <sheetFormatPr defaultRowHeight="14.4" x14ac:dyDescent="0.3"/>
  <cols>
    <col min="1" max="1" width="12" customWidth="1"/>
    <col min="2" max="2" width="17.21875" style="43" customWidth="1"/>
    <col min="3" max="3" width="21.88671875" customWidth="1"/>
    <col min="4" max="4" width="15" customWidth="1"/>
    <col min="5" max="5" width="20" customWidth="1"/>
    <col min="6" max="6" width="16.109375" style="20" customWidth="1"/>
    <col min="7" max="7" width="12.88671875" style="20" customWidth="1"/>
    <col min="8" max="8" width="19" customWidth="1"/>
    <col min="9" max="9" width="23.6640625" customWidth="1"/>
    <col min="10" max="10" width="17.88671875" style="20" customWidth="1"/>
    <col min="11" max="11" width="23.44140625" customWidth="1"/>
    <col min="12" max="12" width="28.109375" customWidth="1"/>
    <col min="13" max="13" width="22.33203125" style="20" customWidth="1"/>
    <col min="14" max="14" width="18" style="20" customWidth="1"/>
    <col min="15" max="15" width="22" style="20" customWidth="1"/>
    <col min="16" max="16" width="17" style="20" customWidth="1"/>
  </cols>
  <sheetData>
    <row r="1" spans="1:16" s="16" customFormat="1" x14ac:dyDescent="0.3">
      <c r="A1" s="14" t="s">
        <v>0</v>
      </c>
      <c r="B1" s="40" t="s">
        <v>63</v>
      </c>
      <c r="C1" s="15" t="s">
        <v>64</v>
      </c>
      <c r="D1" s="15" t="s">
        <v>65</v>
      </c>
      <c r="E1" s="15" t="s">
        <v>66</v>
      </c>
      <c r="F1" s="17" t="s">
        <v>67</v>
      </c>
      <c r="G1" s="17" t="s">
        <v>68</v>
      </c>
      <c r="H1" s="15" t="s">
        <v>69</v>
      </c>
      <c r="I1" s="15" t="s">
        <v>70</v>
      </c>
      <c r="J1" s="17" t="s">
        <v>71</v>
      </c>
      <c r="K1" s="15" t="s">
        <v>72</v>
      </c>
      <c r="L1" s="15" t="s">
        <v>73</v>
      </c>
      <c r="M1" s="17" t="s">
        <v>74</v>
      </c>
      <c r="N1" s="17" t="s">
        <v>75</v>
      </c>
      <c r="O1" s="17" t="s">
        <v>76</v>
      </c>
      <c r="P1" s="21" t="s">
        <v>77</v>
      </c>
    </row>
    <row r="2" spans="1:16" x14ac:dyDescent="0.3">
      <c r="A2" s="10" t="s">
        <v>10</v>
      </c>
      <c r="B2" s="41">
        <f>_xlfn.XLOOKUP(A2,'Trade Register'!A:A,'Trade Register'!F:F,"Not Found")</f>
        <v>500</v>
      </c>
      <c r="C2" s="1">
        <f>_xlfn.XLOOKUP(A2,'Counterparty Trades'!A:A,'Counterparty Trades'!F:F,"Not Found")</f>
        <v>500</v>
      </c>
      <c r="D2" s="1">
        <f>_xlfn.XLOOKUP(A2,'Trade Register'!A:A,'Trade Register'!G:G,"Not Found")</f>
        <v>225</v>
      </c>
      <c r="E2" s="1">
        <f>_xlfn.XLOOKUP(A2,'Counterparty Trades'!A:A,'Counterparty Trades'!G:G,"Not Found")</f>
        <v>225</v>
      </c>
      <c r="F2" s="18" t="str">
        <f t="shared" ref="F2:F21" si="0">IF(B2=C2,"Match","Break")</f>
        <v>Match</v>
      </c>
      <c r="G2" s="18" t="str">
        <f t="shared" ref="G2:G21" si="1">IF(D2=E2,"Match","Break")</f>
        <v>Match</v>
      </c>
      <c r="H2" s="4">
        <f>_xlfn.XLOOKUP(A2,'Trade Register'!A:A,'Trade Register'!H:H,"Not Found")</f>
        <v>46266</v>
      </c>
      <c r="I2" s="4">
        <f>_xlfn.XLOOKUP(A2,'Counterparty Trades'!A:A,'Counterparty Trades'!H:H,"Not Found")</f>
        <v>46266</v>
      </c>
      <c r="J2" s="18" t="str">
        <f t="shared" ref="J2:J21" si="2">IF(H2=I2,"Match","Break")</f>
        <v>Match</v>
      </c>
      <c r="K2" s="4">
        <f>_xlfn.XLOOKUP(A2,'Trade Register'!A:A,'Trade Register'!I:I,"Not Found")</f>
        <v>46268</v>
      </c>
      <c r="L2" s="4">
        <f>_xlfn.XLOOKUP(A2,'Counterparty Trades'!A:A,'Counterparty Trades'!I:I,"Not Found")</f>
        <v>46268</v>
      </c>
      <c r="M2" s="18" t="str">
        <f>IF(K2=L2,"Match","Break")</f>
        <v>Match</v>
      </c>
      <c r="N2" s="18" t="str">
        <f>_xlfn.XLOOKUP(A2,'Trade Register'!A:A,'Trade Register'!E:E,"Not Found")</f>
        <v>Buy</v>
      </c>
      <c r="O2" s="18" t="str">
        <f>_xlfn.XLOOKUP(A2,'Counterparty Trades'!A:A,'Counterparty Trades'!E:E,"Not Found")</f>
        <v>Buy</v>
      </c>
      <c r="P2" s="22" t="str">
        <f t="shared" ref="P2:P21" si="3">IF(N2=O2,"Match","Break")</f>
        <v>Match</v>
      </c>
    </row>
    <row r="3" spans="1:16" x14ac:dyDescent="0.3">
      <c r="A3" s="10" t="s">
        <v>16</v>
      </c>
      <c r="B3" s="41">
        <f>_xlfn.XLOOKUP(A3,'Trade Register'!A:A,'Trade Register'!F:F,"Not Found")</f>
        <v>300</v>
      </c>
      <c r="C3" s="1">
        <f>_xlfn.XLOOKUP(A3,'Counterparty Trades'!A:A,'Counterparty Trades'!F:F,"Not Found")</f>
        <v>300</v>
      </c>
      <c r="D3" s="1">
        <f>_xlfn.XLOOKUP(A3,'Trade Register'!A:A,'Trade Register'!G:G,"Not Found")</f>
        <v>505</v>
      </c>
      <c r="E3" s="1">
        <f>_xlfn.XLOOKUP(A3,'Counterparty Trades'!A:A,'Counterparty Trades'!G:G,"Not Found")</f>
        <v>505</v>
      </c>
      <c r="F3" s="18" t="str">
        <f t="shared" si="0"/>
        <v>Match</v>
      </c>
      <c r="G3" s="18" t="str">
        <f t="shared" si="1"/>
        <v>Match</v>
      </c>
      <c r="H3" s="4">
        <f>_xlfn.XLOOKUP(A3,'Trade Register'!A:A,'Trade Register'!H:H,"Not Found")</f>
        <v>46266</v>
      </c>
      <c r="I3" s="4">
        <f>_xlfn.XLOOKUP(A3,'Counterparty Trades'!A:A,'Counterparty Trades'!H:H,"Not Found")</f>
        <v>46266</v>
      </c>
      <c r="J3" s="18" t="str">
        <f t="shared" si="2"/>
        <v>Match</v>
      </c>
      <c r="K3" s="4">
        <f>_xlfn.XLOOKUP(A3,'Trade Register'!A:A,'Trade Register'!I:I,"Not Found")</f>
        <v>46268</v>
      </c>
      <c r="L3" s="4">
        <f>_xlfn.XLOOKUP(A3,'Counterparty Trades'!A:A,'Counterparty Trades'!I:I,"Not Found")</f>
        <v>46268</v>
      </c>
      <c r="M3" s="18" t="str">
        <f t="shared" ref="M3:M21" si="4">IF(K3=L3,"Match","Break")</f>
        <v>Match</v>
      </c>
      <c r="N3" s="18" t="str">
        <f>_xlfn.XLOOKUP(A3,'Trade Register'!A:A,'Trade Register'!E:E,"Not Found")</f>
        <v>Sell</v>
      </c>
      <c r="O3" s="18" t="str">
        <f>_xlfn.XLOOKUP(A3,'Counterparty Trades'!A:A,'Counterparty Trades'!E:E,"Not Found")</f>
        <v>Sell</v>
      </c>
      <c r="P3" s="22" t="str">
        <f t="shared" si="3"/>
        <v>Match</v>
      </c>
    </row>
    <row r="4" spans="1:16" x14ac:dyDescent="0.3">
      <c r="A4" s="10" t="s">
        <v>20</v>
      </c>
      <c r="B4" s="41">
        <f>_xlfn.XLOOKUP(A4,'Trade Register'!A:A,'Trade Register'!F:F,"Not Found")</f>
        <v>400</v>
      </c>
      <c r="C4" s="1">
        <f>_xlfn.XLOOKUP(A4,'Counterparty Trades'!A:A,'Counterparty Trades'!F:F,"Not Found")</f>
        <v>400</v>
      </c>
      <c r="D4" s="1">
        <f>_xlfn.XLOOKUP(A4,'Trade Register'!A:A,'Trade Register'!G:G,"Not Found")</f>
        <v>345</v>
      </c>
      <c r="E4" s="1">
        <f>_xlfn.XLOOKUP(A4,'Counterparty Trades'!A:A,'Counterparty Trades'!G:G,"Not Found")</f>
        <v>345</v>
      </c>
      <c r="F4" s="18" t="str">
        <f t="shared" si="0"/>
        <v>Match</v>
      </c>
      <c r="G4" s="18" t="str">
        <f t="shared" si="1"/>
        <v>Match</v>
      </c>
      <c r="H4" s="4">
        <f>_xlfn.XLOOKUP(A4,'Trade Register'!A:A,'Trade Register'!H:H,"Not Found")</f>
        <v>46266</v>
      </c>
      <c r="I4" s="4">
        <f>_xlfn.XLOOKUP(A4,'Counterparty Trades'!A:A,'Counterparty Trades'!H:H,"Not Found")</f>
        <v>46266</v>
      </c>
      <c r="J4" s="18" t="str">
        <f t="shared" si="2"/>
        <v>Match</v>
      </c>
      <c r="K4" s="4">
        <f>_xlfn.XLOOKUP(A4,'Trade Register'!A:A,'Trade Register'!I:I,"Not Found")</f>
        <v>46268</v>
      </c>
      <c r="L4" s="4">
        <f>_xlfn.XLOOKUP(A4,'Counterparty Trades'!A:A,'Counterparty Trades'!I:I,"Not Found")</f>
        <v>46268</v>
      </c>
      <c r="M4" s="18" t="str">
        <f t="shared" si="4"/>
        <v>Match</v>
      </c>
      <c r="N4" s="18" t="str">
        <f>_xlfn.XLOOKUP(A4,'Trade Register'!A:A,'Trade Register'!E:E,"Not Found")</f>
        <v>Buy</v>
      </c>
      <c r="O4" s="18" t="str">
        <f>_xlfn.XLOOKUP(A4,'Counterparty Trades'!A:A,'Counterparty Trades'!E:E,"Not Found")</f>
        <v>Buy</v>
      </c>
      <c r="P4" s="22" t="str">
        <f t="shared" si="3"/>
        <v>Match</v>
      </c>
    </row>
    <row r="5" spans="1:16" x14ac:dyDescent="0.3">
      <c r="A5" s="10" t="s">
        <v>23</v>
      </c>
      <c r="B5" s="41">
        <f>_xlfn.XLOOKUP(A5,'Trade Register'!A:A,'Trade Register'!F:F,"Not Found")</f>
        <v>250</v>
      </c>
      <c r="C5" s="1">
        <f>_xlfn.XLOOKUP(A5,'Counterparty Trades'!A:A,'Counterparty Trades'!F:F,"Not Found")</f>
        <v>250</v>
      </c>
      <c r="D5" s="1">
        <f>_xlfn.XLOOKUP(A5,'Trade Register'!A:A,'Trade Register'!G:G,"Not Found")</f>
        <v>235</v>
      </c>
      <c r="E5" s="1">
        <f>_xlfn.XLOOKUP(A5,'Counterparty Trades'!A:A,'Counterparty Trades'!G:G,"Not Found")</f>
        <v>235</v>
      </c>
      <c r="F5" s="18" t="str">
        <f t="shared" si="0"/>
        <v>Match</v>
      </c>
      <c r="G5" s="18" t="str">
        <f t="shared" si="1"/>
        <v>Match</v>
      </c>
      <c r="H5" s="4">
        <f>_xlfn.XLOOKUP(A5,'Trade Register'!A:A,'Trade Register'!H:H,"Not Found")</f>
        <v>46267</v>
      </c>
      <c r="I5" s="4">
        <f>_xlfn.XLOOKUP(A5,'Counterparty Trades'!A:A,'Counterparty Trades'!H:H,"Not Found")</f>
        <v>46267</v>
      </c>
      <c r="J5" s="18" t="str">
        <f t="shared" si="2"/>
        <v>Match</v>
      </c>
      <c r="K5" s="4">
        <f>_xlfn.XLOOKUP(A5,'Trade Register'!A:A,'Trade Register'!I:I,"Not Found")</f>
        <v>46269</v>
      </c>
      <c r="L5" s="4">
        <f>_xlfn.XLOOKUP(A5,'Counterparty Trades'!A:A,'Counterparty Trades'!I:I,"Not Found")</f>
        <v>46269</v>
      </c>
      <c r="M5" s="18" t="str">
        <f t="shared" si="4"/>
        <v>Match</v>
      </c>
      <c r="N5" s="18" t="str">
        <f>_xlfn.XLOOKUP(A5,'Trade Register'!A:A,'Trade Register'!E:E,"Not Found")</f>
        <v>Buy</v>
      </c>
      <c r="O5" s="18" t="str">
        <f>_xlfn.XLOOKUP(A5,'Counterparty Trades'!A:A,'Counterparty Trades'!E:E,"Not Found")</f>
        <v>Buy</v>
      </c>
      <c r="P5" s="22" t="str">
        <f t="shared" si="3"/>
        <v>Match</v>
      </c>
    </row>
    <row r="6" spans="1:16" x14ac:dyDescent="0.3">
      <c r="A6" s="10" t="s">
        <v>26</v>
      </c>
      <c r="B6" s="41">
        <f>_xlfn.XLOOKUP(A6,'Trade Register'!A:A,'Trade Register'!F:F,"Not Found")</f>
        <v>350</v>
      </c>
      <c r="C6" s="1">
        <f>_xlfn.XLOOKUP(A6,'Counterparty Trades'!A:A,'Counterparty Trades'!F:F,"Not Found")</f>
        <v>350</v>
      </c>
      <c r="D6" s="1">
        <f>_xlfn.XLOOKUP(A6,'Trade Register'!A:A,'Trade Register'!G:G,"Not Found")</f>
        <v>210</v>
      </c>
      <c r="E6" s="1">
        <f>_xlfn.XLOOKUP(A6,'Counterparty Trades'!A:A,'Counterparty Trades'!G:G,"Not Found")</f>
        <v>211</v>
      </c>
      <c r="F6" s="18" t="str">
        <f t="shared" si="0"/>
        <v>Match</v>
      </c>
      <c r="G6" s="18" t="str">
        <f t="shared" si="1"/>
        <v>Break</v>
      </c>
      <c r="H6" s="4">
        <f>_xlfn.XLOOKUP(A6,'Trade Register'!A:A,'Trade Register'!H:H,"Not Found")</f>
        <v>46267</v>
      </c>
      <c r="I6" s="4">
        <f>_xlfn.XLOOKUP(A6,'Counterparty Trades'!A:A,'Counterparty Trades'!H:H,"Not Found")</f>
        <v>46267</v>
      </c>
      <c r="J6" s="18" t="str">
        <f t="shared" si="2"/>
        <v>Match</v>
      </c>
      <c r="K6" s="4">
        <f>_xlfn.XLOOKUP(A6,'Trade Register'!A:A,'Trade Register'!I:I,"Not Found")</f>
        <v>46269</v>
      </c>
      <c r="L6" s="4">
        <f>_xlfn.XLOOKUP(A6,'Counterparty Trades'!A:A,'Counterparty Trades'!I:I,"Not Found")</f>
        <v>46269</v>
      </c>
      <c r="M6" s="18" t="str">
        <f t="shared" si="4"/>
        <v>Match</v>
      </c>
      <c r="N6" s="18" t="str">
        <f>_xlfn.XLOOKUP(A6,'Trade Register'!A:A,'Trade Register'!E:E,"Not Found")</f>
        <v>Sell</v>
      </c>
      <c r="O6" s="18" t="str">
        <f>_xlfn.XLOOKUP(A6,'Counterparty Trades'!A:A,'Counterparty Trades'!E:E,"Not Found")</f>
        <v>Sell</v>
      </c>
      <c r="P6" s="22" t="str">
        <f t="shared" si="3"/>
        <v>Match</v>
      </c>
    </row>
    <row r="7" spans="1:16" x14ac:dyDescent="0.3">
      <c r="A7" s="10" t="s">
        <v>28</v>
      </c>
      <c r="B7" s="41">
        <f>_xlfn.XLOOKUP(A7,'Trade Register'!A:A,'Trade Register'!F:F,"Not Found")</f>
        <v>600</v>
      </c>
      <c r="C7" s="1">
        <f>_xlfn.XLOOKUP(A7,'Counterparty Trades'!A:A,'Counterparty Trades'!F:F,"Not Found")</f>
        <v>650</v>
      </c>
      <c r="D7" s="1">
        <f>_xlfn.XLOOKUP(A7,'Trade Register'!A:A,'Trade Register'!G:G,"Not Found")</f>
        <v>295</v>
      </c>
      <c r="E7" s="1">
        <f>_xlfn.XLOOKUP(A7,'Counterparty Trades'!A:A,'Counterparty Trades'!G:G,"Not Found")</f>
        <v>295</v>
      </c>
      <c r="F7" s="18" t="str">
        <f t="shared" si="0"/>
        <v>Break</v>
      </c>
      <c r="G7" s="18" t="str">
        <f t="shared" si="1"/>
        <v>Match</v>
      </c>
      <c r="H7" s="4">
        <f>_xlfn.XLOOKUP(A7,'Trade Register'!A:A,'Trade Register'!H:H,"Not Found")</f>
        <v>46267</v>
      </c>
      <c r="I7" s="4">
        <f>_xlfn.XLOOKUP(A7,'Counterparty Trades'!A:A,'Counterparty Trades'!H:H,"Not Found")</f>
        <v>46267</v>
      </c>
      <c r="J7" s="18" t="str">
        <f t="shared" si="2"/>
        <v>Match</v>
      </c>
      <c r="K7" s="4">
        <f>_xlfn.XLOOKUP(A7,'Trade Register'!A:A,'Trade Register'!I:I,"Not Found")</f>
        <v>46269</v>
      </c>
      <c r="L7" s="4">
        <f>_xlfn.XLOOKUP(A7,'Counterparty Trades'!A:A,'Counterparty Trades'!I:I,"Not Found")</f>
        <v>46269</v>
      </c>
      <c r="M7" s="18" t="str">
        <f t="shared" si="4"/>
        <v>Match</v>
      </c>
      <c r="N7" s="18" t="str">
        <f>_xlfn.XLOOKUP(A7,'Trade Register'!A:A,'Trade Register'!E:E,"Not Found")</f>
        <v>Buy</v>
      </c>
      <c r="O7" s="18" t="str">
        <f>_xlfn.XLOOKUP(A7,'Counterparty Trades'!A:A,'Counterparty Trades'!E:E,"Not Found")</f>
        <v>Buy</v>
      </c>
      <c r="P7" s="22" t="str">
        <f t="shared" si="3"/>
        <v>Match</v>
      </c>
    </row>
    <row r="8" spans="1:16" x14ac:dyDescent="0.3">
      <c r="A8" s="10" t="s">
        <v>30</v>
      </c>
      <c r="B8" s="41">
        <f>_xlfn.XLOOKUP(A8,'Trade Register'!A:A,'Trade Register'!F:F,"Not Found")</f>
        <v>800</v>
      </c>
      <c r="C8" s="1">
        <f>_xlfn.XLOOKUP(A8,'Counterparty Trades'!A:A,'Counterparty Trades'!F:F,"Not Found")</f>
        <v>800</v>
      </c>
      <c r="D8" s="1">
        <f>_xlfn.XLOOKUP(A8,'Trade Register'!A:A,'Trade Register'!G:G,"Not Found")</f>
        <v>1410</v>
      </c>
      <c r="E8" s="1">
        <f>_xlfn.XLOOKUP(A8,'Counterparty Trades'!A:A,'Counterparty Trades'!G:G,"Not Found")</f>
        <v>1410</v>
      </c>
      <c r="F8" s="18" t="str">
        <f t="shared" si="0"/>
        <v>Match</v>
      </c>
      <c r="G8" s="18" t="str">
        <f t="shared" si="1"/>
        <v>Match</v>
      </c>
      <c r="H8" s="4">
        <f>_xlfn.XLOOKUP(A8,'Trade Register'!A:A,'Trade Register'!H:H,"Not Found")</f>
        <v>46268</v>
      </c>
      <c r="I8" s="4">
        <f>_xlfn.XLOOKUP(A8,'Counterparty Trades'!A:A,'Counterparty Trades'!H:H,"Not Found")</f>
        <v>46268</v>
      </c>
      <c r="J8" s="18" t="str">
        <f t="shared" si="2"/>
        <v>Match</v>
      </c>
      <c r="K8" s="4">
        <f>_xlfn.XLOOKUP(A8,'Trade Register'!A:A,'Trade Register'!I:I,"Not Found")</f>
        <v>46272</v>
      </c>
      <c r="L8" s="4">
        <f>_xlfn.XLOOKUP(A8,'Counterparty Trades'!A:A,'Counterparty Trades'!I:I,"Not Found")</f>
        <v>46272</v>
      </c>
      <c r="M8" s="18" t="str">
        <f t="shared" si="4"/>
        <v>Match</v>
      </c>
      <c r="N8" s="18" t="str">
        <f>_xlfn.XLOOKUP(A8,'Trade Register'!A:A,'Trade Register'!E:E,"Not Found")</f>
        <v>Buy</v>
      </c>
      <c r="O8" s="18" t="str">
        <f>_xlfn.XLOOKUP(A8,'Counterparty Trades'!A:A,'Counterparty Trades'!E:E,"Not Found")</f>
        <v>Buy</v>
      </c>
      <c r="P8" s="22" t="str">
        <f t="shared" si="3"/>
        <v>Match</v>
      </c>
    </row>
    <row r="9" spans="1:16" x14ac:dyDescent="0.3">
      <c r="A9" s="10" t="s">
        <v>33</v>
      </c>
      <c r="B9" s="41">
        <f>_xlfn.XLOOKUP(A9,'Trade Register'!A:A,'Trade Register'!F:F,"Not Found")</f>
        <v>500</v>
      </c>
      <c r="C9" s="1">
        <f>_xlfn.XLOOKUP(A9,'Counterparty Trades'!A:A,'Counterparty Trades'!F:F,"Not Found")</f>
        <v>500</v>
      </c>
      <c r="D9" s="1">
        <f>_xlfn.XLOOKUP(A9,'Trade Register'!A:A,'Trade Register'!G:G,"Not Found")</f>
        <v>3020</v>
      </c>
      <c r="E9" s="1">
        <f>_xlfn.XLOOKUP(A9,'Counterparty Trades'!A:A,'Counterparty Trades'!G:G,"Not Found")</f>
        <v>3020</v>
      </c>
      <c r="F9" s="18" t="str">
        <f t="shared" si="0"/>
        <v>Match</v>
      </c>
      <c r="G9" s="18" t="str">
        <f t="shared" si="1"/>
        <v>Match</v>
      </c>
      <c r="H9" s="4">
        <f>_xlfn.XLOOKUP(A9,'Trade Register'!A:A,'Trade Register'!H:H,"Not Found")</f>
        <v>46268</v>
      </c>
      <c r="I9" s="4">
        <f>_xlfn.XLOOKUP(A9,'Counterparty Trades'!A:A,'Counterparty Trades'!H:H,"Not Found")</f>
        <v>46269</v>
      </c>
      <c r="J9" s="18" t="str">
        <f t="shared" si="2"/>
        <v>Break</v>
      </c>
      <c r="K9" s="4">
        <f>_xlfn.XLOOKUP(A9,'Trade Register'!A:A,'Trade Register'!I:I,"Not Found")</f>
        <v>46272</v>
      </c>
      <c r="L9" s="4">
        <f>_xlfn.XLOOKUP(A9,'Counterparty Trades'!A:A,'Counterparty Trades'!I:I,"Not Found")</f>
        <v>46272</v>
      </c>
      <c r="M9" s="18" t="str">
        <f t="shared" si="4"/>
        <v>Match</v>
      </c>
      <c r="N9" s="18" t="str">
        <f>_xlfn.XLOOKUP(A9,'Trade Register'!A:A,'Trade Register'!E:E,"Not Found")</f>
        <v>Sell</v>
      </c>
      <c r="O9" s="18" t="str">
        <f>_xlfn.XLOOKUP(A9,'Counterparty Trades'!A:A,'Counterparty Trades'!E:E,"Not Found")</f>
        <v>Sell</v>
      </c>
      <c r="P9" s="22" t="str">
        <f t="shared" si="3"/>
        <v>Match</v>
      </c>
    </row>
    <row r="10" spans="1:16" x14ac:dyDescent="0.3">
      <c r="A10" s="10" t="s">
        <v>35</v>
      </c>
      <c r="B10" s="41">
        <f>_xlfn.XLOOKUP(A10,'Trade Register'!A:A,'Trade Register'!F:F,"Not Found")</f>
        <v>700</v>
      </c>
      <c r="C10" s="1">
        <f>_xlfn.XLOOKUP(A10,'Counterparty Trades'!A:A,'Counterparty Trades'!F:F,"Not Found")</f>
        <v>700</v>
      </c>
      <c r="D10" s="1">
        <f>_xlfn.XLOOKUP(A10,'Trade Register'!A:A,'Trade Register'!G:G,"Not Found")</f>
        <v>1980</v>
      </c>
      <c r="E10" s="1">
        <f>_xlfn.XLOOKUP(A10,'Counterparty Trades'!A:A,'Counterparty Trades'!G:G,"Not Found")</f>
        <v>1980</v>
      </c>
      <c r="F10" s="18" t="str">
        <f t="shared" si="0"/>
        <v>Match</v>
      </c>
      <c r="G10" s="18" t="str">
        <f t="shared" si="1"/>
        <v>Match</v>
      </c>
      <c r="H10" s="4">
        <f>_xlfn.XLOOKUP(A10,'Trade Register'!A:A,'Trade Register'!H:H,"Not Found")</f>
        <v>46268</v>
      </c>
      <c r="I10" s="4">
        <f>_xlfn.XLOOKUP(A10,'Counterparty Trades'!A:A,'Counterparty Trades'!H:H,"Not Found")</f>
        <v>46268</v>
      </c>
      <c r="J10" s="18" t="str">
        <f t="shared" si="2"/>
        <v>Match</v>
      </c>
      <c r="K10" s="4">
        <f>_xlfn.XLOOKUP(A10,'Trade Register'!A:A,'Trade Register'!I:I,"Not Found")</f>
        <v>46272</v>
      </c>
      <c r="L10" s="4">
        <f>_xlfn.XLOOKUP(A10,'Counterparty Trades'!A:A,'Counterparty Trades'!I:I,"Not Found")</f>
        <v>46273</v>
      </c>
      <c r="M10" s="18" t="str">
        <f t="shared" si="4"/>
        <v>Break</v>
      </c>
      <c r="N10" s="18" t="str">
        <f>_xlfn.XLOOKUP(A10,'Trade Register'!A:A,'Trade Register'!E:E,"Not Found")</f>
        <v>Buy</v>
      </c>
      <c r="O10" s="18" t="str">
        <f>_xlfn.XLOOKUP(A10,'Counterparty Trades'!A:A,'Counterparty Trades'!E:E,"Not Found")</f>
        <v>Buy</v>
      </c>
      <c r="P10" s="22" t="str">
        <f t="shared" si="3"/>
        <v>Match</v>
      </c>
    </row>
    <row r="11" spans="1:16" x14ac:dyDescent="0.3">
      <c r="A11" s="10" t="s">
        <v>37</v>
      </c>
      <c r="B11" s="41">
        <f>_xlfn.XLOOKUP(A11,'Trade Register'!A:A,'Trade Register'!F:F,"Not Found")</f>
        <v>900</v>
      </c>
      <c r="C11" s="1">
        <f>_xlfn.XLOOKUP(A11,'Counterparty Trades'!A:A,'Counterparty Trades'!F:F,"Not Found")</f>
        <v>900</v>
      </c>
      <c r="D11" s="1">
        <f>_xlfn.XLOOKUP(A11,'Trade Register'!A:A,'Trade Register'!G:G,"Not Found")</f>
        <v>1520</v>
      </c>
      <c r="E11" s="1">
        <f>_xlfn.XLOOKUP(A11,'Counterparty Trades'!A:A,'Counterparty Trades'!G:G,"Not Found")</f>
        <v>1520</v>
      </c>
      <c r="F11" s="18" t="str">
        <f t="shared" si="0"/>
        <v>Match</v>
      </c>
      <c r="G11" s="18" t="str">
        <f t="shared" si="1"/>
        <v>Match</v>
      </c>
      <c r="H11" s="4">
        <f>_xlfn.XLOOKUP(A11,'Trade Register'!A:A,'Trade Register'!H:H,"Not Found")</f>
        <v>46269</v>
      </c>
      <c r="I11" s="4">
        <f>_xlfn.XLOOKUP(A11,'Counterparty Trades'!A:A,'Counterparty Trades'!H:H,"Not Found")</f>
        <v>46269</v>
      </c>
      <c r="J11" s="18" t="str">
        <f t="shared" si="2"/>
        <v>Match</v>
      </c>
      <c r="K11" s="4">
        <f>_xlfn.XLOOKUP(A11,'Trade Register'!A:A,'Trade Register'!I:I,"Not Found")</f>
        <v>46273</v>
      </c>
      <c r="L11" s="4">
        <f>_xlfn.XLOOKUP(A11,'Counterparty Trades'!A:A,'Counterparty Trades'!I:I,"Not Found")</f>
        <v>46273</v>
      </c>
      <c r="M11" s="18" t="str">
        <f t="shared" si="4"/>
        <v>Match</v>
      </c>
      <c r="N11" s="18" t="str">
        <f>_xlfn.XLOOKUP(A11,'Trade Register'!A:A,'Trade Register'!E:E,"Not Found")</f>
        <v>Sell</v>
      </c>
      <c r="O11" s="18" t="str">
        <f>_xlfn.XLOOKUP(A11,'Counterparty Trades'!A:A,'Counterparty Trades'!E:E,"Not Found")</f>
        <v>Buy</v>
      </c>
      <c r="P11" s="22" t="str">
        <f t="shared" si="3"/>
        <v>Break</v>
      </c>
    </row>
    <row r="12" spans="1:16" x14ac:dyDescent="0.3">
      <c r="A12" s="10" t="s">
        <v>39</v>
      </c>
      <c r="B12" s="41">
        <f>_xlfn.XLOOKUP(A12,'Trade Register'!A:A,'Trade Register'!F:F,"Not Found")</f>
        <v>100</v>
      </c>
      <c r="C12" s="1">
        <f>_xlfn.XLOOKUP(A12,'Counterparty Trades'!A:A,'Counterparty Trades'!F:F,"Not Found")</f>
        <v>100</v>
      </c>
      <c r="D12" s="1">
        <f>_xlfn.XLOOKUP(A12,'Trade Register'!A:A,'Trade Register'!G:G,"Not Found")</f>
        <v>98.5</v>
      </c>
      <c r="E12" s="1">
        <f>_xlfn.XLOOKUP(A12,'Counterparty Trades'!A:A,'Counterparty Trades'!G:G,"Not Found")</f>
        <v>98.5</v>
      </c>
      <c r="F12" s="18" t="str">
        <f t="shared" si="0"/>
        <v>Match</v>
      </c>
      <c r="G12" s="18" t="str">
        <f t="shared" si="1"/>
        <v>Match</v>
      </c>
      <c r="H12" s="4">
        <f>_xlfn.XLOOKUP(A12,'Trade Register'!A:A,'Trade Register'!H:H,"Not Found")</f>
        <v>46269</v>
      </c>
      <c r="I12" s="4">
        <f>_xlfn.XLOOKUP(A12,'Counterparty Trades'!A:A,'Counterparty Trades'!H:H,"Not Found")</f>
        <v>46269</v>
      </c>
      <c r="J12" s="18" t="str">
        <f t="shared" si="2"/>
        <v>Match</v>
      </c>
      <c r="K12" s="4">
        <f>_xlfn.XLOOKUP(A12,'Trade Register'!A:A,'Trade Register'!I:I,"Not Found")</f>
        <v>46273</v>
      </c>
      <c r="L12" s="4">
        <f>_xlfn.XLOOKUP(A12,'Counterparty Trades'!A:A,'Counterparty Trades'!I:I,"Not Found")</f>
        <v>46273</v>
      </c>
      <c r="M12" s="18" t="str">
        <f t="shared" si="4"/>
        <v>Match</v>
      </c>
      <c r="N12" s="18" t="str">
        <f>_xlfn.XLOOKUP(A12,'Trade Register'!A:A,'Trade Register'!E:E,"Not Found")</f>
        <v>Buy</v>
      </c>
      <c r="O12" s="18" t="str">
        <f>_xlfn.XLOOKUP(A12,'Counterparty Trades'!A:A,'Counterparty Trades'!E:E,"Not Found")</f>
        <v>Buy</v>
      </c>
      <c r="P12" s="22" t="str">
        <f t="shared" si="3"/>
        <v>Match</v>
      </c>
    </row>
    <row r="13" spans="1:16" x14ac:dyDescent="0.3">
      <c r="A13" s="10" t="s">
        <v>42</v>
      </c>
      <c r="B13" s="41">
        <f>_xlfn.XLOOKUP(A13,'Trade Register'!A:A,'Trade Register'!F:F,"Not Found")</f>
        <v>150</v>
      </c>
      <c r="C13" s="1">
        <f>_xlfn.XLOOKUP(A13,'Counterparty Trades'!A:A,'Counterparty Trades'!F:F,"Not Found")</f>
        <v>150</v>
      </c>
      <c r="D13" s="1">
        <f>_xlfn.XLOOKUP(A13,'Trade Register'!A:A,'Trade Register'!G:G,"Not Found")</f>
        <v>101.25</v>
      </c>
      <c r="E13" s="1">
        <f>_xlfn.XLOOKUP(A13,'Counterparty Trades'!A:A,'Counterparty Trades'!G:G,"Not Found")</f>
        <v>101.25</v>
      </c>
      <c r="F13" s="18" t="str">
        <f t="shared" si="0"/>
        <v>Match</v>
      </c>
      <c r="G13" s="18" t="str">
        <f t="shared" si="1"/>
        <v>Match</v>
      </c>
      <c r="H13" s="4">
        <f>_xlfn.XLOOKUP(A13,'Trade Register'!A:A,'Trade Register'!H:H,"Not Found")</f>
        <v>46269</v>
      </c>
      <c r="I13" s="4">
        <f>_xlfn.XLOOKUP(A13,'Counterparty Trades'!A:A,'Counterparty Trades'!H:H,"Not Found")</f>
        <v>46269</v>
      </c>
      <c r="J13" s="18" t="str">
        <f t="shared" si="2"/>
        <v>Match</v>
      </c>
      <c r="K13" s="4">
        <f>_xlfn.XLOOKUP(A13,'Trade Register'!A:A,'Trade Register'!I:I,"Not Found")</f>
        <v>46273</v>
      </c>
      <c r="L13" s="4">
        <f>_xlfn.XLOOKUP(A13,'Counterparty Trades'!A:A,'Counterparty Trades'!I:I,"Not Found")</f>
        <v>46273</v>
      </c>
      <c r="M13" s="18" t="str">
        <f t="shared" si="4"/>
        <v>Match</v>
      </c>
      <c r="N13" s="18" t="str">
        <f>_xlfn.XLOOKUP(A13,'Trade Register'!A:A,'Trade Register'!E:E,"Not Found")</f>
        <v>Sell</v>
      </c>
      <c r="O13" s="18" t="str">
        <f>_xlfn.XLOOKUP(A13,'Counterparty Trades'!A:A,'Counterparty Trades'!E:E,"Not Found")</f>
        <v>Sell</v>
      </c>
      <c r="P13" s="22" t="str">
        <f t="shared" si="3"/>
        <v>Match</v>
      </c>
    </row>
    <row r="14" spans="1:16" x14ac:dyDescent="0.3">
      <c r="A14" s="10" t="s">
        <v>45</v>
      </c>
      <c r="B14" s="41">
        <f>_xlfn.XLOOKUP(A14,'Trade Register'!A:A,'Trade Register'!F:F,"Not Found")</f>
        <v>100000</v>
      </c>
      <c r="C14" s="1">
        <f>_xlfn.XLOOKUP(A14,'Counterparty Trades'!A:A,'Counterparty Trades'!F:F,"Not Found")</f>
        <v>100000</v>
      </c>
      <c r="D14" s="1">
        <f>_xlfn.XLOOKUP(A14,'Trade Register'!A:A,'Trade Register'!G:G,"Not Found")</f>
        <v>1.17</v>
      </c>
      <c r="E14" s="1">
        <f>_xlfn.XLOOKUP(A14,'Counterparty Trades'!A:A,'Counterparty Trades'!G:G,"Not Found")</f>
        <v>1.17</v>
      </c>
      <c r="F14" s="18" t="str">
        <f t="shared" si="0"/>
        <v>Match</v>
      </c>
      <c r="G14" s="18" t="str">
        <f t="shared" si="1"/>
        <v>Match</v>
      </c>
      <c r="H14" s="4">
        <f>_xlfn.XLOOKUP(A14,'Trade Register'!A:A,'Trade Register'!H:H,"Not Found")</f>
        <v>46270</v>
      </c>
      <c r="I14" s="4">
        <f>_xlfn.XLOOKUP(A14,'Counterparty Trades'!A:A,'Counterparty Trades'!H:H,"Not Found")</f>
        <v>46270</v>
      </c>
      <c r="J14" s="18" t="str">
        <f t="shared" si="2"/>
        <v>Match</v>
      </c>
      <c r="K14" s="4">
        <f>_xlfn.XLOOKUP(A14,'Trade Register'!A:A,'Trade Register'!I:I,"Not Found")</f>
        <v>46272</v>
      </c>
      <c r="L14" s="4">
        <f>_xlfn.XLOOKUP(A14,'Counterparty Trades'!A:A,'Counterparty Trades'!I:I,"Not Found")</f>
        <v>46272</v>
      </c>
      <c r="M14" s="18" t="str">
        <f t="shared" si="4"/>
        <v>Match</v>
      </c>
      <c r="N14" s="18" t="str">
        <f>_xlfn.XLOOKUP(A14,'Trade Register'!A:A,'Trade Register'!E:E,"Not Found")</f>
        <v>Buy</v>
      </c>
      <c r="O14" s="18" t="str">
        <f>_xlfn.XLOOKUP(A14,'Counterparty Trades'!A:A,'Counterparty Trades'!E:E,"Not Found")</f>
        <v>Buy</v>
      </c>
      <c r="P14" s="22" t="str">
        <f t="shared" si="3"/>
        <v>Match</v>
      </c>
    </row>
    <row r="15" spans="1:16" x14ac:dyDescent="0.3">
      <c r="A15" s="10" t="s">
        <v>48</v>
      </c>
      <c r="B15" s="41">
        <f>_xlfn.XLOOKUP(A15,'Trade Register'!A:A,'Trade Register'!F:F,"Not Found")</f>
        <v>200000</v>
      </c>
      <c r="C15" s="1">
        <f>_xlfn.XLOOKUP(A15,'Counterparty Trades'!A:A,'Counterparty Trades'!F:F,"Not Found")</f>
        <v>200000</v>
      </c>
      <c r="D15" s="1">
        <f>_xlfn.XLOOKUP(A15,'Trade Register'!A:A,'Trade Register'!G:G,"Not Found")</f>
        <v>88.2</v>
      </c>
      <c r="E15" s="1">
        <f>_xlfn.XLOOKUP(A15,'Counterparty Trades'!A:A,'Counterparty Trades'!G:G,"Not Found")</f>
        <v>88.2</v>
      </c>
      <c r="F15" s="18" t="str">
        <f t="shared" si="0"/>
        <v>Match</v>
      </c>
      <c r="G15" s="18" t="str">
        <f t="shared" si="1"/>
        <v>Match</v>
      </c>
      <c r="H15" s="4">
        <f>_xlfn.XLOOKUP(A15,'Trade Register'!A:A,'Trade Register'!H:H,"Not Found")</f>
        <v>46270</v>
      </c>
      <c r="I15" s="4">
        <f>_xlfn.XLOOKUP(A15,'Counterparty Trades'!A:A,'Counterparty Trades'!H:H,"Not Found")</f>
        <v>46270</v>
      </c>
      <c r="J15" s="18" t="str">
        <f t="shared" si="2"/>
        <v>Match</v>
      </c>
      <c r="K15" s="4">
        <f>_xlfn.XLOOKUP(A15,'Trade Register'!A:A,'Trade Register'!I:I,"Not Found")</f>
        <v>46272</v>
      </c>
      <c r="L15" s="4">
        <f>_xlfn.XLOOKUP(A15,'Counterparty Trades'!A:A,'Counterparty Trades'!I:I,"Not Found")</f>
        <v>46272</v>
      </c>
      <c r="M15" s="18" t="str">
        <f t="shared" si="4"/>
        <v>Match</v>
      </c>
      <c r="N15" s="18" t="str">
        <f>_xlfn.XLOOKUP(A15,'Trade Register'!A:A,'Trade Register'!E:E,"Not Found")</f>
        <v>Sell</v>
      </c>
      <c r="O15" s="18" t="str">
        <f>_xlfn.XLOOKUP(A15,'Counterparty Trades'!A:A,'Counterparty Trades'!E:E,"Not Found")</f>
        <v>Sell</v>
      </c>
      <c r="P15" s="22" t="str">
        <f t="shared" si="3"/>
        <v>Match</v>
      </c>
    </row>
    <row r="16" spans="1:16" x14ac:dyDescent="0.3">
      <c r="A16" s="10" t="s">
        <v>50</v>
      </c>
      <c r="B16" s="41">
        <f>_xlfn.XLOOKUP(A16,'Trade Register'!A:A,'Trade Register'!F:F,"Not Found")</f>
        <v>50</v>
      </c>
      <c r="C16" s="1">
        <f>_xlfn.XLOOKUP(A16,'Counterparty Trades'!A:A,'Counterparty Trades'!F:F,"Not Found")</f>
        <v>50</v>
      </c>
      <c r="D16" s="1">
        <f>_xlfn.XLOOKUP(A16,'Trade Register'!A:A,'Trade Register'!G:G,"Not Found")</f>
        <v>3550</v>
      </c>
      <c r="E16" s="1">
        <f>_xlfn.XLOOKUP(A16,'Counterparty Trades'!A:A,'Counterparty Trades'!G:G,"Not Found")</f>
        <v>3550</v>
      </c>
      <c r="F16" s="18" t="str">
        <f t="shared" si="0"/>
        <v>Match</v>
      </c>
      <c r="G16" s="18" t="str">
        <f t="shared" si="1"/>
        <v>Match</v>
      </c>
      <c r="H16" s="4">
        <f>_xlfn.XLOOKUP(A16,'Trade Register'!A:A,'Trade Register'!H:H,"Not Found")</f>
        <v>46270</v>
      </c>
      <c r="I16" s="4">
        <f>_xlfn.XLOOKUP(A16,'Counterparty Trades'!A:A,'Counterparty Trades'!H:H,"Not Found")</f>
        <v>46270</v>
      </c>
      <c r="J16" s="18" t="str">
        <f t="shared" si="2"/>
        <v>Match</v>
      </c>
      <c r="K16" s="4">
        <f>_xlfn.XLOOKUP(A16,'Trade Register'!A:A,'Trade Register'!I:I,"Not Found")</f>
        <v>46272</v>
      </c>
      <c r="L16" s="4">
        <f>_xlfn.XLOOKUP(A16,'Counterparty Trades'!A:A,'Counterparty Trades'!I:I,"Not Found")</f>
        <v>46272</v>
      </c>
      <c r="M16" s="18" t="str">
        <f t="shared" si="4"/>
        <v>Match</v>
      </c>
      <c r="N16" s="18" t="str">
        <f>_xlfn.XLOOKUP(A16,'Trade Register'!A:A,'Trade Register'!E:E,"Not Found")</f>
        <v>Buy</v>
      </c>
      <c r="O16" s="18" t="str">
        <f>_xlfn.XLOOKUP(A16,'Counterparty Trades'!A:A,'Counterparty Trades'!E:E,"Not Found")</f>
        <v>Buy</v>
      </c>
      <c r="P16" s="22" t="str">
        <f t="shared" si="3"/>
        <v>Match</v>
      </c>
    </row>
    <row r="17" spans="1:16" x14ac:dyDescent="0.3">
      <c r="A17" s="10" t="s">
        <v>53</v>
      </c>
      <c r="B17" s="41">
        <f>_xlfn.XLOOKUP(A17,'Trade Register'!A:A,'Trade Register'!F:F,"Not Found")</f>
        <v>40</v>
      </c>
      <c r="C17" s="1">
        <f>_xlfn.XLOOKUP(A17,'Counterparty Trades'!A:A,'Counterparty Trades'!F:F,"Not Found")</f>
        <v>40</v>
      </c>
      <c r="D17" s="1">
        <f>_xlfn.XLOOKUP(A17,'Trade Register'!A:A,'Trade Register'!G:G,"Not Found")</f>
        <v>6500</v>
      </c>
      <c r="E17" s="1">
        <f>_xlfn.XLOOKUP(A17,'Counterparty Trades'!A:A,'Counterparty Trades'!G:G,"Not Found")</f>
        <v>6500</v>
      </c>
      <c r="F17" s="18" t="str">
        <f t="shared" si="0"/>
        <v>Match</v>
      </c>
      <c r="G17" s="18" t="str">
        <f t="shared" si="1"/>
        <v>Match</v>
      </c>
      <c r="H17" s="4">
        <f>_xlfn.XLOOKUP(A17,'Trade Register'!A:A,'Trade Register'!H:H,"Not Found")</f>
        <v>46271</v>
      </c>
      <c r="I17" s="4">
        <f>_xlfn.XLOOKUP(A17,'Counterparty Trades'!A:A,'Counterparty Trades'!H:H,"Not Found")</f>
        <v>46271</v>
      </c>
      <c r="J17" s="18" t="str">
        <f t="shared" si="2"/>
        <v>Match</v>
      </c>
      <c r="K17" s="4">
        <f>_xlfn.XLOOKUP(A17,'Trade Register'!A:A,'Trade Register'!I:I,"Not Found")</f>
        <v>46273</v>
      </c>
      <c r="L17" s="4">
        <f>_xlfn.XLOOKUP(A17,'Counterparty Trades'!A:A,'Counterparty Trades'!I:I,"Not Found")</f>
        <v>46273</v>
      </c>
      <c r="M17" s="18" t="str">
        <f t="shared" si="4"/>
        <v>Match</v>
      </c>
      <c r="N17" s="18" t="str">
        <f>_xlfn.XLOOKUP(A17,'Trade Register'!A:A,'Trade Register'!E:E,"Not Found")</f>
        <v>Sell</v>
      </c>
      <c r="O17" s="18" t="str">
        <f>_xlfn.XLOOKUP(A17,'Counterparty Trades'!A:A,'Counterparty Trades'!E:E,"Not Found")</f>
        <v>Sell</v>
      </c>
      <c r="P17" s="22" t="str">
        <f t="shared" si="3"/>
        <v>Match</v>
      </c>
    </row>
    <row r="18" spans="1:16" x14ac:dyDescent="0.3">
      <c r="A18" s="10" t="s">
        <v>55</v>
      </c>
      <c r="B18" s="41">
        <f>_xlfn.XLOOKUP(A18,'Trade Register'!A:A,'Trade Register'!F:F,"Not Found")</f>
        <v>450</v>
      </c>
      <c r="C18" s="1">
        <f>_xlfn.XLOOKUP(A18,'Counterparty Trades'!A:A,'Counterparty Trades'!F:F,"Not Found")</f>
        <v>450</v>
      </c>
      <c r="D18" s="1">
        <f>_xlfn.XLOOKUP(A18,'Trade Register'!A:A,'Trade Register'!G:G,"Not Found")</f>
        <v>175</v>
      </c>
      <c r="E18" s="1">
        <f>_xlfn.XLOOKUP(A18,'Counterparty Trades'!A:A,'Counterparty Trades'!G:G,"Not Found")</f>
        <v>175</v>
      </c>
      <c r="F18" s="18" t="str">
        <f t="shared" si="0"/>
        <v>Match</v>
      </c>
      <c r="G18" s="18" t="str">
        <f t="shared" si="1"/>
        <v>Match</v>
      </c>
      <c r="H18" s="4">
        <f>_xlfn.XLOOKUP(A18,'Trade Register'!A:A,'Trade Register'!H:H,"Not Found")</f>
        <v>46271</v>
      </c>
      <c r="I18" s="4">
        <f>_xlfn.XLOOKUP(A18,'Counterparty Trades'!A:A,'Counterparty Trades'!H:H,"Not Found")</f>
        <v>46271</v>
      </c>
      <c r="J18" s="18" t="str">
        <f t="shared" si="2"/>
        <v>Match</v>
      </c>
      <c r="K18" s="4">
        <f>_xlfn.XLOOKUP(A18,'Trade Register'!A:A,'Trade Register'!I:I,"Not Found")</f>
        <v>46273</v>
      </c>
      <c r="L18" s="4">
        <f>_xlfn.XLOOKUP(A18,'Counterparty Trades'!A:A,'Counterparty Trades'!I:I,"Not Found")</f>
        <v>46273</v>
      </c>
      <c r="M18" s="18" t="str">
        <f t="shared" si="4"/>
        <v>Match</v>
      </c>
      <c r="N18" s="18" t="str">
        <f>_xlfn.XLOOKUP(A18,'Trade Register'!A:A,'Trade Register'!E:E,"Not Found")</f>
        <v>Buy</v>
      </c>
      <c r="O18" s="18" t="str">
        <f>_xlfn.XLOOKUP(A18,'Counterparty Trades'!A:A,'Counterparty Trades'!E:E,"Not Found")</f>
        <v>Buy</v>
      </c>
      <c r="P18" s="22" t="str">
        <f t="shared" si="3"/>
        <v>Match</v>
      </c>
    </row>
    <row r="19" spans="1:16" x14ac:dyDescent="0.3">
      <c r="A19" s="10" t="s">
        <v>57</v>
      </c>
      <c r="B19" s="41">
        <f>_xlfn.XLOOKUP(A19,'Trade Register'!A:A,'Trade Register'!F:F,"Not Found")</f>
        <v>275</v>
      </c>
      <c r="C19" s="1">
        <f>_xlfn.XLOOKUP(A19,'Counterparty Trades'!A:A,'Counterparty Trades'!F:F,"Not Found")</f>
        <v>275</v>
      </c>
      <c r="D19" s="1">
        <f>_xlfn.XLOOKUP(A19,'Trade Register'!A:A,'Trade Register'!G:G,"Not Found")</f>
        <v>750</v>
      </c>
      <c r="E19" s="1">
        <f>_xlfn.XLOOKUP(A19,'Counterparty Trades'!A:A,'Counterparty Trades'!G:G,"Not Found")</f>
        <v>750</v>
      </c>
      <c r="F19" s="18" t="str">
        <f t="shared" si="0"/>
        <v>Match</v>
      </c>
      <c r="G19" s="18" t="str">
        <f t="shared" si="1"/>
        <v>Match</v>
      </c>
      <c r="H19" s="4">
        <f>_xlfn.XLOOKUP(A19,'Trade Register'!A:A,'Trade Register'!H:H,"Not Found")</f>
        <v>46271</v>
      </c>
      <c r="I19" s="4">
        <f>_xlfn.XLOOKUP(A19,'Counterparty Trades'!A:A,'Counterparty Trades'!H:H,"Not Found")</f>
        <v>46271</v>
      </c>
      <c r="J19" s="18" t="str">
        <f t="shared" si="2"/>
        <v>Match</v>
      </c>
      <c r="K19" s="4">
        <f>_xlfn.XLOOKUP(A19,'Trade Register'!A:A,'Trade Register'!I:I,"Not Found")</f>
        <v>46273</v>
      </c>
      <c r="L19" s="4">
        <f>_xlfn.XLOOKUP(A19,'Counterparty Trades'!A:A,'Counterparty Trades'!I:I,"Not Found")</f>
        <v>46273</v>
      </c>
      <c r="M19" s="18" t="str">
        <f t="shared" si="4"/>
        <v>Match</v>
      </c>
      <c r="N19" s="18" t="str">
        <f>_xlfn.XLOOKUP(A19,'Trade Register'!A:A,'Trade Register'!E:E,"Not Found")</f>
        <v>Sell</v>
      </c>
      <c r="O19" s="18" t="str">
        <f>_xlfn.XLOOKUP(A19,'Counterparty Trades'!A:A,'Counterparty Trades'!E:E,"Not Found")</f>
        <v>Sell</v>
      </c>
      <c r="P19" s="22" t="str">
        <f t="shared" si="3"/>
        <v>Match</v>
      </c>
    </row>
    <row r="20" spans="1:16" x14ac:dyDescent="0.3">
      <c r="A20" s="10" t="s">
        <v>59</v>
      </c>
      <c r="B20" s="41">
        <f>_xlfn.XLOOKUP(A20,'Trade Register'!A:A,'Trade Register'!F:F,"Not Found")</f>
        <v>650</v>
      </c>
      <c r="C20" s="1">
        <f>_xlfn.XLOOKUP(A20,'Counterparty Trades'!A:A,'Counterparty Trades'!F:F,"Not Found")</f>
        <v>650</v>
      </c>
      <c r="D20" s="1">
        <f>_xlfn.XLOOKUP(A20,'Trade Register'!A:A,'Trade Register'!G:G,"Not Found")</f>
        <v>1420</v>
      </c>
      <c r="E20" s="1">
        <f>_xlfn.XLOOKUP(A20,'Counterparty Trades'!A:A,'Counterparty Trades'!G:G,"Not Found")</f>
        <v>1420</v>
      </c>
      <c r="F20" s="18" t="str">
        <f t="shared" si="0"/>
        <v>Match</v>
      </c>
      <c r="G20" s="18" t="str">
        <f t="shared" si="1"/>
        <v>Match</v>
      </c>
      <c r="H20" s="4">
        <f>_xlfn.XLOOKUP(A20,'Trade Register'!A:A,'Trade Register'!H:H,"Not Found")</f>
        <v>46271</v>
      </c>
      <c r="I20" s="4">
        <f>_xlfn.XLOOKUP(A20,'Counterparty Trades'!A:A,'Counterparty Trades'!H:H,"Not Found")</f>
        <v>46271</v>
      </c>
      <c r="J20" s="18" t="str">
        <f t="shared" si="2"/>
        <v>Match</v>
      </c>
      <c r="K20" s="4">
        <f>_xlfn.XLOOKUP(A20,'Trade Register'!A:A,'Trade Register'!I:I,"Not Found")</f>
        <v>46273</v>
      </c>
      <c r="L20" s="4">
        <f>_xlfn.XLOOKUP(A20,'Counterparty Trades'!A:A,'Counterparty Trades'!I:I,"Not Found")</f>
        <v>46273</v>
      </c>
      <c r="M20" s="18" t="str">
        <f t="shared" si="4"/>
        <v>Match</v>
      </c>
      <c r="N20" s="18" t="str">
        <f>_xlfn.XLOOKUP(A20,'Trade Register'!A:A,'Trade Register'!E:E,"Not Found")</f>
        <v>Buy</v>
      </c>
      <c r="O20" s="18" t="str">
        <f>_xlfn.XLOOKUP(A20,'Counterparty Trades'!A:A,'Counterparty Trades'!E:E,"Not Found")</f>
        <v>Buy</v>
      </c>
      <c r="P20" s="22" t="str">
        <f t="shared" si="3"/>
        <v>Match</v>
      </c>
    </row>
    <row r="21" spans="1:16" x14ac:dyDescent="0.3">
      <c r="A21" s="11" t="s">
        <v>61</v>
      </c>
      <c r="B21" s="42">
        <f>_xlfn.XLOOKUP(A21,'Trade Register'!A:A,'Trade Register'!F:F,"Not Found")</f>
        <v>400</v>
      </c>
      <c r="C21" s="12">
        <f>_xlfn.XLOOKUP(A21,'Counterparty Trades'!A:A,'Counterparty Trades'!F:F,"Not Found")</f>
        <v>400</v>
      </c>
      <c r="D21" s="12">
        <f>_xlfn.XLOOKUP(A21,'Trade Register'!A:A,'Trade Register'!G:G,"Not Found")</f>
        <v>2450</v>
      </c>
      <c r="E21" s="12">
        <f>_xlfn.XLOOKUP(A21,'Counterparty Trades'!A:A,'Counterparty Trades'!G:G,"Not Found")</f>
        <v>2450</v>
      </c>
      <c r="F21" s="19" t="str">
        <f t="shared" si="0"/>
        <v>Match</v>
      </c>
      <c r="G21" s="19" t="str">
        <f t="shared" si="1"/>
        <v>Match</v>
      </c>
      <c r="H21" s="13">
        <f>_xlfn.XLOOKUP(A21,'Trade Register'!A:A,'Trade Register'!H:H,"Not Found")</f>
        <v>46271</v>
      </c>
      <c r="I21" s="13">
        <f>_xlfn.XLOOKUP(A21,'Counterparty Trades'!A:A,'Counterparty Trades'!H:H,"Not Found")</f>
        <v>46271</v>
      </c>
      <c r="J21" s="19" t="str">
        <f t="shared" si="2"/>
        <v>Match</v>
      </c>
      <c r="K21" s="13">
        <f>_xlfn.XLOOKUP(A21,'Trade Register'!A:A,'Trade Register'!I:I,"Not Found")</f>
        <v>46273</v>
      </c>
      <c r="L21" s="13">
        <f>_xlfn.XLOOKUP(A21,'Counterparty Trades'!A:A,'Counterparty Trades'!I:I,"Not Found")</f>
        <v>46273</v>
      </c>
      <c r="M21" s="19" t="str">
        <f t="shared" si="4"/>
        <v>Match</v>
      </c>
      <c r="N21" s="19" t="str">
        <f>_xlfn.XLOOKUP(A21,'Trade Register'!A:A,'Trade Register'!E:E,"Not Found")</f>
        <v>Sell</v>
      </c>
      <c r="O21" s="19" t="str">
        <f>_xlfn.XLOOKUP(A21,'Counterparty Trades'!A:A,'Counterparty Trades'!E:E,"Not Found")</f>
        <v>Sell</v>
      </c>
      <c r="P21" s="23" t="str">
        <f t="shared" si="3"/>
        <v>Match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14" customWidth="1"/>
    <col min="2" max="2" width="20" style="36" customWidth="1"/>
    <col min="3" max="3" width="22" style="36" customWidth="1"/>
    <col min="4" max="4" width="25" style="36" customWidth="1"/>
    <col min="5" max="5" width="15" style="36" customWidth="1"/>
  </cols>
  <sheetData>
    <row r="1" spans="1:5" s="29" customFormat="1" x14ac:dyDescent="0.3">
      <c r="A1" s="32" t="s">
        <v>0</v>
      </c>
      <c r="B1" s="27" t="s">
        <v>78</v>
      </c>
      <c r="C1" s="27" t="s">
        <v>79</v>
      </c>
      <c r="D1" s="27" t="s">
        <v>80</v>
      </c>
      <c r="E1" s="28" t="s">
        <v>81</v>
      </c>
    </row>
    <row r="2" spans="1:5" x14ac:dyDescent="0.3">
      <c r="A2" s="10" t="s">
        <v>26</v>
      </c>
      <c r="B2" s="33" t="s">
        <v>6</v>
      </c>
      <c r="C2" s="33">
        <v>210</v>
      </c>
      <c r="D2" s="33">
        <v>211</v>
      </c>
      <c r="E2" s="37" t="s">
        <v>82</v>
      </c>
    </row>
    <row r="3" spans="1:5" x14ac:dyDescent="0.3">
      <c r="A3" s="10" t="s">
        <v>28</v>
      </c>
      <c r="B3" s="33" t="s">
        <v>5</v>
      </c>
      <c r="C3" s="33">
        <v>600</v>
      </c>
      <c r="D3" s="33">
        <v>650</v>
      </c>
      <c r="E3" s="37" t="s">
        <v>82</v>
      </c>
    </row>
    <row r="4" spans="1:5" x14ac:dyDescent="0.3">
      <c r="A4" s="10" t="s">
        <v>33</v>
      </c>
      <c r="B4" s="33" t="s">
        <v>7</v>
      </c>
      <c r="C4" s="34">
        <v>46268</v>
      </c>
      <c r="D4" s="34">
        <v>46269</v>
      </c>
      <c r="E4" s="37" t="s">
        <v>82</v>
      </c>
    </row>
    <row r="5" spans="1:5" x14ac:dyDescent="0.3">
      <c r="A5" s="10" t="s">
        <v>35</v>
      </c>
      <c r="B5" s="33" t="s">
        <v>8</v>
      </c>
      <c r="C5" s="34">
        <v>46272</v>
      </c>
      <c r="D5" s="34">
        <v>46273</v>
      </c>
      <c r="E5" s="37" t="s">
        <v>82</v>
      </c>
    </row>
    <row r="6" spans="1:5" x14ac:dyDescent="0.3">
      <c r="A6" s="11" t="s">
        <v>37</v>
      </c>
      <c r="B6" s="35" t="s">
        <v>4</v>
      </c>
      <c r="C6" s="35" t="s">
        <v>19</v>
      </c>
      <c r="D6" s="35" t="s">
        <v>14</v>
      </c>
      <c r="E6" s="38" t="s">
        <v>82</v>
      </c>
    </row>
    <row r="8" spans="1:5" x14ac:dyDescent="0.3">
      <c r="A8" s="6" t="s">
        <v>83</v>
      </c>
      <c r="B8" s="39">
        <f>COUNTIF(E2:E6,"Break")</f>
        <v>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workbookViewId="0">
      <pane ySplit="2" topLeftCell="A7" activePane="bottomLeft" state="frozen"/>
      <selection pane="bottomLeft" activeCell="C2" sqref="C2"/>
    </sheetView>
  </sheetViews>
  <sheetFormatPr defaultRowHeight="14.4" x14ac:dyDescent="0.3"/>
  <cols>
    <col min="1" max="1" width="25" customWidth="1"/>
    <col min="2" max="2" width="42.33203125" customWidth="1"/>
    <col min="4" max="4" width="10.33203125" customWidth="1"/>
    <col min="5" max="5" width="18" customWidth="1"/>
  </cols>
  <sheetData>
    <row r="1" spans="1:2" ht="21" x14ac:dyDescent="0.4">
      <c r="A1" s="9" t="s">
        <v>84</v>
      </c>
      <c r="B1" s="8"/>
    </row>
    <row r="3" spans="1:2" x14ac:dyDescent="0.3">
      <c r="A3" s="5" t="s">
        <v>85</v>
      </c>
      <c r="B3" s="5" t="s">
        <v>86</v>
      </c>
    </row>
    <row r="4" spans="1:2" x14ac:dyDescent="0.3">
      <c r="A4" s="1" t="s">
        <v>87</v>
      </c>
      <c r="B4" s="1">
        <f>COUNTA('Trade Matching'!A2:A21)</f>
        <v>20</v>
      </c>
    </row>
    <row r="5" spans="1:2" x14ac:dyDescent="0.3">
      <c r="A5" s="1" t="s">
        <v>88</v>
      </c>
      <c r="B5" s="1">
        <f>COUNTIFS('Trade Matching'!F2:F21,"Match",'Trade Matching'!G2:G21,"Match",'Trade Matching'!J2:J21,"Match",'Trade Matching'!M2:M21,"Match",'Trade Matching'!P2:P21,"Match")</f>
        <v>15</v>
      </c>
    </row>
    <row r="6" spans="1:2" x14ac:dyDescent="0.3">
      <c r="A6" s="1" t="s">
        <v>89</v>
      </c>
      <c r="B6" s="1">
        <f>B4-B5</f>
        <v>5</v>
      </c>
    </row>
    <row r="8" spans="1:2" x14ac:dyDescent="0.3">
      <c r="A8" s="1" t="s">
        <v>90</v>
      </c>
      <c r="B8" s="7">
        <f>B5/B4</f>
        <v>0.75</v>
      </c>
    </row>
    <row r="10" spans="1:2" x14ac:dyDescent="0.3">
      <c r="A10" s="5" t="s">
        <v>3</v>
      </c>
      <c r="B10" s="5" t="s">
        <v>91</v>
      </c>
    </row>
    <row r="11" spans="1:2" x14ac:dyDescent="0.3">
      <c r="A11" s="1" t="s">
        <v>13</v>
      </c>
      <c r="B11" s="1">
        <f>COUNTIF('Trade Register'!D:D,A11)</f>
        <v>14</v>
      </c>
    </row>
    <row r="12" spans="1:2" x14ac:dyDescent="0.3">
      <c r="A12" s="1" t="s">
        <v>41</v>
      </c>
      <c r="B12" s="1">
        <f>COUNTIF('Trade Register'!D:D,A12)</f>
        <v>2</v>
      </c>
    </row>
    <row r="13" spans="1:2" x14ac:dyDescent="0.3">
      <c r="A13" s="1" t="s">
        <v>47</v>
      </c>
      <c r="B13" s="1">
        <f>COUNTIF('Trade Register'!D:D,A13)</f>
        <v>2</v>
      </c>
    </row>
    <row r="14" spans="1:2" x14ac:dyDescent="0.3">
      <c r="A14" s="1" t="s">
        <v>52</v>
      </c>
      <c r="B14" s="1">
        <f>COUNTIF('Trade Register'!D:D,A14)</f>
        <v>2</v>
      </c>
    </row>
    <row r="17" spans="1:2" x14ac:dyDescent="0.3">
      <c r="A17" s="5" t="s">
        <v>78</v>
      </c>
      <c r="B17" s="5" t="s">
        <v>92</v>
      </c>
    </row>
    <row r="18" spans="1:2" x14ac:dyDescent="0.3">
      <c r="A18" s="1" t="s">
        <v>93</v>
      </c>
      <c r="B18" s="1">
        <f>COUNTIF('Trade Matching'!F2:F21,"Break")</f>
        <v>1</v>
      </c>
    </row>
    <row r="19" spans="1:2" x14ac:dyDescent="0.3">
      <c r="A19" s="1" t="s">
        <v>94</v>
      </c>
      <c r="B19" s="1">
        <f>COUNTIF('Trade Matching'!G2:G21,"Break")</f>
        <v>1</v>
      </c>
    </row>
    <row r="20" spans="1:2" x14ac:dyDescent="0.3">
      <c r="A20" s="1" t="s">
        <v>95</v>
      </c>
      <c r="B20" s="1">
        <f>COUNTIF('Trade Matching'!J2:J21,"Break")</f>
        <v>1</v>
      </c>
    </row>
    <row r="21" spans="1:2" x14ac:dyDescent="0.3">
      <c r="A21" s="1" t="s">
        <v>96</v>
      </c>
      <c r="B21" s="1">
        <f>COUNTIF('Trade Matching'!M2:M21,"Break")</f>
        <v>1</v>
      </c>
    </row>
    <row r="22" spans="1:2" x14ac:dyDescent="0.3">
      <c r="A22" s="1" t="s">
        <v>97</v>
      </c>
      <c r="B22" s="1">
        <f>COUNTIF('Trade Matching'!P2:P21,"Break")</f>
        <v>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 Register</vt:lpstr>
      <vt:lpstr>Counterparty Trades</vt:lpstr>
      <vt:lpstr>Trade Matching</vt:lpstr>
      <vt:lpstr>Exception Report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 Banking Trade Reconciliation Project</dc:title>
  <dc:subject>Simulated trade lifecycle and reconciliation project</dc:subject>
  <dc:creator>Portfolio Project</dc:creator>
  <cp:lastModifiedBy>dhruvvarma17@gmail.com</cp:lastModifiedBy>
  <dcterms:created xsi:type="dcterms:W3CDTF">2026-09-07T10:20:37Z</dcterms:created>
  <dcterms:modified xsi:type="dcterms:W3CDTF">2026-09-07T11:30:35Z</dcterms:modified>
</cp:coreProperties>
</file>